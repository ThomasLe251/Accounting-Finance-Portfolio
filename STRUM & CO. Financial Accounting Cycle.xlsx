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ate1904="1" defaultThemeVersion="124226"/>
  <mc:AlternateContent xmlns:mc="http://schemas.openxmlformats.org/markup-compatibility/2006">
    <mc:Choice Requires="x15">
      <x15ac:absPath xmlns:x15ac="http://schemas.microsoft.com/office/spreadsheetml/2010/11/ac" url="D:\QUT MoB (Applied Finance)\2nd Semester, 2nd Year\AYN416 Financial Accounting Processes\Assessment 2\"/>
    </mc:Choice>
  </mc:AlternateContent>
  <xr:revisionPtr revIDLastSave="0" documentId="13_ncr:1_{B07C1FAE-BEE9-408E-B794-C07C4B47FF30}" xr6:coauthVersionLast="47" xr6:coauthVersionMax="47" xr10:uidLastSave="{00000000-0000-0000-0000-000000000000}"/>
  <bookViews>
    <workbookView xWindow="-110" yWindow="-110" windowWidth="19420" windowHeight="11500" tabRatio="516" firstSheet="4" activeTab="5" xr2:uid="{00000000-000D-0000-FFFF-FFFF00000000}"/>
  </bookViews>
  <sheets>
    <sheet name="Chart of Accounts" sheetId="8" r:id="rId1"/>
    <sheet name="Journals" sheetId="1" r:id="rId2"/>
    <sheet name="Subsid Ledgers" sheetId="2" r:id="rId3"/>
    <sheet name="Gen Ledger" sheetId="3" r:id="rId4"/>
    <sheet name="Worksheet" sheetId="4" r:id="rId5"/>
    <sheet name="Income Sment &amp; Chgs in Equity" sheetId="5" r:id="rId6"/>
    <sheet name="Balance Sheet" sheetId="7" r:id="rId7"/>
    <sheet name="Post Cl Trial Bal" sheetId="6" r:id="rId8"/>
  </sheets>
  <definedNames>
    <definedName name="_xlnm.Print_Area" localSheetId="3">'Gen Ledger'!$A$1:$G$237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" i="5" l="1"/>
  <c r="C20" i="6"/>
  <c r="B20" i="6"/>
  <c r="C19" i="6"/>
  <c r="C18" i="6"/>
  <c r="C17" i="6"/>
  <c r="C16" i="6"/>
  <c r="C15" i="6"/>
  <c r="C14" i="6"/>
  <c r="B13" i="6"/>
  <c r="C12" i="6"/>
  <c r="B11" i="6"/>
  <c r="B10" i="6"/>
  <c r="B9" i="6"/>
  <c r="B8" i="6"/>
  <c r="B7" i="6"/>
  <c r="B6" i="6"/>
  <c r="B5" i="6"/>
  <c r="D125" i="3"/>
  <c r="F132" i="3"/>
  <c r="E132" i="3"/>
  <c r="E124" i="3"/>
  <c r="G141" i="3"/>
  <c r="D141" i="3"/>
  <c r="G140" i="3"/>
  <c r="D140" i="3"/>
  <c r="D115" i="1"/>
  <c r="F237" i="3"/>
  <c r="E237" i="3"/>
  <c r="F228" i="3"/>
  <c r="E228" i="3"/>
  <c r="F221" i="3"/>
  <c r="F214" i="3"/>
  <c r="E214" i="3"/>
  <c r="F207" i="3"/>
  <c r="E207" i="3"/>
  <c r="F200" i="3"/>
  <c r="E200" i="3"/>
  <c r="E194" i="3"/>
  <c r="F194" i="3"/>
  <c r="F186" i="3"/>
  <c r="E186" i="3"/>
  <c r="F179" i="3"/>
  <c r="E179" i="3"/>
  <c r="F172" i="3"/>
  <c r="E172" i="3"/>
  <c r="E165" i="3"/>
  <c r="F165" i="3"/>
  <c r="F155" i="3"/>
  <c r="E155" i="3"/>
  <c r="G139" i="3"/>
  <c r="D139" i="3"/>
  <c r="D148" i="3"/>
  <c r="E138" i="3"/>
  <c r="G138" i="3"/>
  <c r="H19" i="7"/>
  <c r="H21" i="7" s="1"/>
  <c r="H22" i="7" s="1"/>
  <c r="H30" i="7"/>
  <c r="H37" i="7"/>
  <c r="H34" i="7"/>
  <c r="H31" i="7"/>
  <c r="H38" i="7" s="1"/>
  <c r="H28" i="7"/>
  <c r="H27" i="7"/>
  <c r="H20" i="7"/>
  <c r="H18" i="7"/>
  <c r="H17" i="7"/>
  <c r="H14" i="7"/>
  <c r="H13" i="7"/>
  <c r="H12" i="7"/>
  <c r="H10" i="7"/>
  <c r="H9" i="7"/>
  <c r="H8" i="7"/>
  <c r="B18" i="4"/>
  <c r="F17" i="7"/>
  <c r="B13" i="7"/>
  <c r="D44" i="5"/>
  <c r="M13" i="4"/>
  <c r="I13" i="4"/>
  <c r="D16" i="4"/>
  <c r="D14" i="4"/>
  <c r="C13" i="4"/>
  <c r="C11" i="4"/>
  <c r="H51" i="1"/>
  <c r="E7" i="3" s="1"/>
  <c r="E51" i="1"/>
  <c r="D101" i="3" s="1"/>
  <c r="D213" i="3"/>
  <c r="F213" i="3" s="1"/>
  <c r="F32" i="4" s="1"/>
  <c r="I32" i="4" s="1"/>
  <c r="K32" i="4" s="1"/>
  <c r="C20" i="5" s="1"/>
  <c r="E97" i="1"/>
  <c r="E42" i="3" s="1"/>
  <c r="H11" i="4" s="1"/>
  <c r="I11" i="4" s="1"/>
  <c r="M11" i="4" s="1"/>
  <c r="F12" i="7" s="1"/>
  <c r="D206" i="3"/>
  <c r="F206" i="3" s="1"/>
  <c r="E94" i="1"/>
  <c r="E50" i="3" s="1"/>
  <c r="D178" i="3"/>
  <c r="F178" i="3" s="1"/>
  <c r="F27" i="4" s="1"/>
  <c r="E91" i="1"/>
  <c r="E77" i="3" s="1"/>
  <c r="H16" i="4" s="1"/>
  <c r="J16" i="4" s="1"/>
  <c r="N16" i="4" s="1"/>
  <c r="F20" i="7" s="1"/>
  <c r="D185" i="3"/>
  <c r="F185" i="3" s="1"/>
  <c r="F28" i="4" s="1"/>
  <c r="I28" i="4" s="1"/>
  <c r="K28" i="4" s="1"/>
  <c r="C16" i="5" s="1"/>
  <c r="E63" i="3"/>
  <c r="H14" i="4" s="1"/>
  <c r="J14" i="4" s="1"/>
  <c r="E35" i="3"/>
  <c r="H10" i="4" s="1"/>
  <c r="D199" i="3"/>
  <c r="F199" i="3" s="1"/>
  <c r="F30" i="4" s="1"/>
  <c r="I30" i="4" s="1"/>
  <c r="K30" i="4" s="1"/>
  <c r="C18" i="5" s="1"/>
  <c r="D236" i="3"/>
  <c r="F35" i="4" s="1"/>
  <c r="E82" i="1"/>
  <c r="E107" i="3" s="1"/>
  <c r="G107" i="3" s="1"/>
  <c r="H19" i="4" s="1"/>
  <c r="J19" i="4" s="1"/>
  <c r="N19" i="4" s="1"/>
  <c r="G28" i="1"/>
  <c r="G30" i="1" s="1"/>
  <c r="E123" i="3" s="1"/>
  <c r="C45" i="5" s="1"/>
  <c r="E115" i="3"/>
  <c r="D235" i="3"/>
  <c r="E74" i="1"/>
  <c r="D171" i="3"/>
  <c r="F171" i="3" s="1"/>
  <c r="C26" i="4" s="1"/>
  <c r="I26" i="4" s="1"/>
  <c r="K26" i="4" s="1"/>
  <c r="C24" i="5" s="1"/>
  <c r="F24" i="1"/>
  <c r="F30" i="1" s="1"/>
  <c r="E16" i="3" s="1"/>
  <c r="F25" i="1"/>
  <c r="E16" i="2" s="1"/>
  <c r="F27" i="1"/>
  <c r="E23" i="2" s="1"/>
  <c r="F48" i="1"/>
  <c r="D193" i="3" s="1"/>
  <c r="G48" i="1"/>
  <c r="G47" i="1"/>
  <c r="F47" i="1" s="1"/>
  <c r="D227" i="3" s="1"/>
  <c r="F227" i="3" s="1"/>
  <c r="C34" i="4" s="1"/>
  <c r="I34" i="4" s="1"/>
  <c r="K34" i="4" s="1"/>
  <c r="C22" i="5" s="1"/>
  <c r="D114" i="3"/>
  <c r="D88" i="3"/>
  <c r="I26" i="1"/>
  <c r="E26" i="1"/>
  <c r="H26" i="1" s="1"/>
  <c r="D26" i="1" s="1"/>
  <c r="E24" i="3"/>
  <c r="E70" i="1"/>
  <c r="D69" i="1" s="1"/>
  <c r="E71" i="1"/>
  <c r="H5" i="1"/>
  <c r="G5" i="1"/>
  <c r="F44" i="1"/>
  <c r="D220" i="3" s="1"/>
  <c r="F220" i="3" s="1"/>
  <c r="C33" i="4" s="1"/>
  <c r="I33" i="4" s="1"/>
  <c r="K33" i="4" s="1"/>
  <c r="C21" i="5" s="1"/>
  <c r="G44" i="1"/>
  <c r="D23" i="3"/>
  <c r="D66" i="1"/>
  <c r="E67" i="1" s="1"/>
  <c r="E162" i="3" s="1"/>
  <c r="F162" i="3" s="1"/>
  <c r="D62" i="1"/>
  <c r="D46" i="2"/>
  <c r="D39" i="2"/>
  <c r="E14" i="1"/>
  <c r="H4" i="1"/>
  <c r="H8" i="1" s="1"/>
  <c r="G4" i="1"/>
  <c r="F4" i="1" s="1"/>
  <c r="E4" i="1" s="1"/>
  <c r="D14" i="2" s="1"/>
  <c r="D234" i="3"/>
  <c r="F234" i="3" s="1"/>
  <c r="D131" i="3"/>
  <c r="F131" i="3" s="1"/>
  <c r="C22" i="4" s="1"/>
  <c r="I22" i="4" s="1"/>
  <c r="I23" i="1"/>
  <c r="I30" i="1" s="1"/>
  <c r="E23" i="1"/>
  <c r="G39" i="1"/>
  <c r="F39" i="1" s="1"/>
  <c r="D34" i="3" s="1"/>
  <c r="F34" i="3" s="1"/>
  <c r="C10" i="4" s="1"/>
  <c r="I10" i="4" s="1"/>
  <c r="M10" i="4" s="1"/>
  <c r="F11" i="7" s="1"/>
  <c r="E13" i="1"/>
  <c r="F13" i="1" s="1"/>
  <c r="H3" i="1"/>
  <c r="G3" i="1"/>
  <c r="G8" i="1" s="1"/>
  <c r="E146" i="3" s="1"/>
  <c r="G146" i="3" s="1"/>
  <c r="G38" i="1"/>
  <c r="F38" i="1" s="1"/>
  <c r="D49" i="3" s="1"/>
  <c r="E52" i="2"/>
  <c r="E98" i="3"/>
  <c r="D59" i="1"/>
  <c r="D85" i="3" s="1"/>
  <c r="G37" i="1"/>
  <c r="F37" i="1" s="1"/>
  <c r="F51" i="1" l="1"/>
  <c r="D192" i="3"/>
  <c r="F192" i="3" s="1"/>
  <c r="F193" i="3" s="1"/>
  <c r="C29" i="4" s="1"/>
  <c r="I29" i="4" s="1"/>
  <c r="K29" i="4" s="1"/>
  <c r="C17" i="5" s="1"/>
  <c r="D23" i="1"/>
  <c r="D30" i="1" s="1"/>
  <c r="D6" i="3" s="1"/>
  <c r="E27" i="3"/>
  <c r="D164" i="3"/>
  <c r="D59" i="2"/>
  <c r="D99" i="3"/>
  <c r="G147" i="3"/>
  <c r="E25" i="3"/>
  <c r="D163" i="3"/>
  <c r="F163" i="3" s="1"/>
  <c r="F164" i="3" s="1"/>
  <c r="C25" i="4" s="1"/>
  <c r="I25" i="4" s="1"/>
  <c r="K25" i="4" s="1"/>
  <c r="F17" i="1"/>
  <c r="D90" i="3" s="1"/>
  <c r="H23" i="1"/>
  <c r="H30" i="1" s="1"/>
  <c r="E91" i="3" s="1"/>
  <c r="G13" i="1"/>
  <c r="D58" i="1"/>
  <c r="D70" i="3" s="1"/>
  <c r="E87" i="3"/>
  <c r="F3" i="1"/>
  <c r="F14" i="1"/>
  <c r="G14" i="1" s="1"/>
  <c r="E45" i="2" s="1"/>
  <c r="F235" i="3"/>
  <c r="C35" i="4" s="1"/>
  <c r="I35" i="4" s="1"/>
  <c r="K35" i="4" s="1"/>
  <c r="C13" i="5" s="1"/>
  <c r="E8" i="2"/>
  <c r="D154" i="3"/>
  <c r="F154" i="3" s="1"/>
  <c r="C24" i="4" s="1"/>
  <c r="I24" i="4" s="1"/>
  <c r="K24" i="4" s="1"/>
  <c r="E17" i="1"/>
  <c r="D26" i="3" s="1"/>
  <c r="E30" i="1"/>
  <c r="E147" i="3" s="1"/>
  <c r="G51" i="1"/>
  <c r="D92" i="3" s="1"/>
  <c r="D63" i="1"/>
  <c r="D86" i="3" s="1"/>
  <c r="F5" i="1"/>
  <c r="E5" i="1" s="1"/>
  <c r="D22" i="2" s="1"/>
  <c r="F36" i="4"/>
  <c r="I27" i="4"/>
  <c r="K27" i="4" s="1"/>
  <c r="C15" i="5" s="1"/>
  <c r="C7" i="5"/>
  <c r="D48" i="5"/>
  <c r="M22" i="4"/>
  <c r="F35" i="7" s="1"/>
  <c r="F29" i="7"/>
  <c r="N14" i="4"/>
  <c r="F18" i="7" s="1"/>
  <c r="F236" i="3"/>
  <c r="H12" i="4"/>
  <c r="F31" i="4"/>
  <c r="I31" i="4" s="1"/>
  <c r="K31" i="4" s="1"/>
  <c r="C19" i="5" s="1"/>
  <c r="H36" i="4"/>
  <c r="G148" i="3"/>
  <c r="D23" i="4"/>
  <c r="J23" i="4" s="1"/>
  <c r="L23" i="4" s="1"/>
  <c r="F6" i="3"/>
  <c r="F7" i="3" s="1"/>
  <c r="C7" i="4" s="1"/>
  <c r="C9" i="5" l="1"/>
  <c r="K36" i="4"/>
  <c r="E64" i="1"/>
  <c r="F8" i="1"/>
  <c r="E89" i="3" s="1"/>
  <c r="E3" i="1"/>
  <c r="G17" i="1"/>
  <c r="E100" i="3" s="1"/>
  <c r="E58" i="2"/>
  <c r="L36" i="4"/>
  <c r="D6" i="5"/>
  <c r="D8" i="5" s="1"/>
  <c r="D10" i="5" s="1"/>
  <c r="I7" i="4"/>
  <c r="F49" i="3"/>
  <c r="A122" i="3"/>
  <c r="A113" i="3"/>
  <c r="A97" i="3"/>
  <c r="A84" i="3"/>
  <c r="A76" i="3"/>
  <c r="A69" i="3"/>
  <c r="A62" i="3"/>
  <c r="A56" i="3"/>
  <c r="A48" i="3"/>
  <c r="A41" i="3"/>
  <c r="A22" i="3"/>
  <c r="A13" i="3"/>
  <c r="A57" i="2"/>
  <c r="A51" i="2"/>
  <c r="A44" i="2"/>
  <c r="A38" i="2"/>
  <c r="A21" i="2"/>
  <c r="A13" i="2"/>
  <c r="E8" i="1" l="1"/>
  <c r="D15" i="3" s="1"/>
  <c r="D7" i="2"/>
  <c r="E14" i="3"/>
  <c r="F14" i="3" s="1"/>
  <c r="F15" i="3" s="1"/>
  <c r="F16" i="3" s="1"/>
  <c r="C8" i="4" s="1"/>
  <c r="I8" i="4" s="1"/>
  <c r="M8" i="4" s="1"/>
  <c r="F9" i="7" s="1"/>
  <c r="E15" i="2"/>
  <c r="D27" i="5"/>
  <c r="C46" i="5" s="1"/>
  <c r="D46" i="5" s="1"/>
  <c r="D49" i="5" s="1"/>
  <c r="M7" i="4"/>
  <c r="F50" i="3"/>
  <c r="C12" i="4"/>
  <c r="I12" i="4" s="1"/>
  <c r="M12" i="4" s="1"/>
  <c r="F13" i="7" s="1"/>
  <c r="L38" i="4"/>
  <c r="K37" i="4"/>
  <c r="E55" i="8"/>
  <c r="F55" i="8"/>
  <c r="E56" i="8"/>
  <c r="F56" i="8"/>
  <c r="F223" i="3"/>
  <c r="B223" i="3"/>
  <c r="F57" i="8"/>
  <c r="F58" i="8"/>
  <c r="G122" i="3"/>
  <c r="G113" i="3"/>
  <c r="G114" i="3" s="1"/>
  <c r="G97" i="3"/>
  <c r="G84" i="3"/>
  <c r="G76" i="3"/>
  <c r="G77" i="3" s="1"/>
  <c r="F69" i="3"/>
  <c r="G62" i="3"/>
  <c r="G63" i="3" s="1"/>
  <c r="F56" i="3"/>
  <c r="K38" i="4" l="1"/>
  <c r="N37" i="4"/>
  <c r="F36" i="7" s="1"/>
  <c r="F8" i="7"/>
  <c r="G123" i="3"/>
  <c r="D21" i="4" s="1"/>
  <c r="J21" i="4" s="1"/>
  <c r="N21" i="4" s="1"/>
  <c r="F34" i="7" s="1"/>
  <c r="A8" i="4"/>
  <c r="B8" i="4"/>
  <c r="A9" i="4"/>
  <c r="B9" i="4"/>
  <c r="A10" i="4"/>
  <c r="B10" i="4"/>
  <c r="A11" i="4"/>
  <c r="B11" i="4"/>
  <c r="A12" i="4"/>
  <c r="B12" i="4"/>
  <c r="A13" i="4"/>
  <c r="B13" i="4"/>
  <c r="A14" i="4"/>
  <c r="B14" i="4"/>
  <c r="A15" i="4"/>
  <c r="B15" i="4"/>
  <c r="A16" i="4"/>
  <c r="B16" i="4"/>
  <c r="A17" i="4"/>
  <c r="B17" i="4"/>
  <c r="A18" i="4"/>
  <c r="A19" i="4"/>
  <c r="B19" i="4"/>
  <c r="A20" i="4"/>
  <c r="B20" i="4"/>
  <c r="A21" i="4"/>
  <c r="B21" i="4"/>
  <c r="A22" i="4"/>
  <c r="B22" i="4"/>
  <c r="A23" i="4"/>
  <c r="B23" i="4"/>
  <c r="A24" i="4"/>
  <c r="B24" i="4"/>
  <c r="A25" i="4"/>
  <c r="B25" i="4"/>
  <c r="A26" i="4"/>
  <c r="B26" i="4"/>
  <c r="A27" i="4"/>
  <c r="B27" i="4"/>
  <c r="A28" i="4"/>
  <c r="B28" i="4"/>
  <c r="A29" i="4"/>
  <c r="B29" i="4"/>
  <c r="A30" i="4"/>
  <c r="B30" i="4"/>
  <c r="A31" i="4"/>
  <c r="B31" i="4"/>
  <c r="A32" i="4"/>
  <c r="B32" i="4"/>
  <c r="A33" i="4"/>
  <c r="B33" i="4"/>
  <c r="A34" i="4"/>
  <c r="B34" i="4"/>
  <c r="A35" i="4"/>
  <c r="B35" i="4"/>
  <c r="A7" i="4"/>
  <c r="B7" i="4"/>
  <c r="F41" i="3"/>
  <c r="F42" i="3" s="1"/>
  <c r="F37" i="7" l="1"/>
  <c r="F21" i="2"/>
  <c r="F13" i="2"/>
  <c r="F6" i="2"/>
  <c r="G57" i="2"/>
  <c r="G51" i="2"/>
  <c r="G44" i="2"/>
  <c r="G38" i="2"/>
  <c r="G39" i="2" s="1"/>
  <c r="B54" i="2"/>
  <c r="B48" i="2"/>
  <c r="B41" i="2"/>
  <c r="B35" i="2"/>
  <c r="B18" i="2"/>
  <c r="B10" i="2"/>
  <c r="B3" i="2"/>
  <c r="C4" i="8"/>
  <c r="E57" i="8"/>
  <c r="E58" i="8"/>
  <c r="F5" i="3" l="1"/>
  <c r="F7" i="2"/>
  <c r="F8" i="2" s="1"/>
  <c r="F27" i="2" s="1"/>
  <c r="D34" i="8"/>
  <c r="F70" i="3" l="1"/>
  <c r="C15" i="4" s="1"/>
  <c r="I15" i="4" s="1"/>
  <c r="M15" i="4" s="1"/>
  <c r="F19" i="7" s="1"/>
  <c r="F21" i="7" s="1"/>
  <c r="G115" i="3" l="1"/>
  <c r="D20" i="4" s="1"/>
  <c r="J20" i="4" s="1"/>
  <c r="N20" i="4" s="1"/>
  <c r="F30" i="7" s="1"/>
  <c r="G85" i="3"/>
  <c r="D50" i="8"/>
  <c r="B28" i="2"/>
  <c r="B27" i="2"/>
  <c r="C41" i="8"/>
  <c r="F14" i="2"/>
  <c r="B29" i="2"/>
  <c r="G63" i="2"/>
  <c r="B64" i="2"/>
  <c r="B65" i="2"/>
  <c r="B63" i="2"/>
  <c r="B66" i="2"/>
  <c r="F35" i="3"/>
  <c r="G86" i="3" l="1"/>
  <c r="G87" i="3" s="1"/>
  <c r="G88" i="3" s="1"/>
  <c r="G89" i="3" s="1"/>
  <c r="G90" i="3" s="1"/>
  <c r="G91" i="3" s="1"/>
  <c r="G92" i="3" s="1"/>
  <c r="D17" i="4" s="1"/>
  <c r="G45" i="2"/>
  <c r="G46" i="2" s="1"/>
  <c r="G64" i="2" s="1"/>
  <c r="G58" i="2"/>
  <c r="G59" i="2" s="1"/>
  <c r="G66" i="2" s="1"/>
  <c r="F22" i="2"/>
  <c r="F23" i="2" s="1"/>
  <c r="F29" i="2" s="1"/>
  <c r="G98" i="3"/>
  <c r="G99" i="3" s="1"/>
  <c r="G100" i="3" s="1"/>
  <c r="C5" i="8"/>
  <c r="E59" i="8"/>
  <c r="G124" i="3"/>
  <c r="J17" i="4" l="1"/>
  <c r="F13" i="3"/>
  <c r="G52" i="2"/>
  <c r="G65" i="2" s="1"/>
  <c r="G67" i="2" s="1"/>
  <c r="F15" i="2"/>
  <c r="F16" i="2" s="1"/>
  <c r="F28" i="2" s="1"/>
  <c r="F30" i="2" s="1"/>
  <c r="C40" i="4"/>
  <c r="H53" i="1"/>
  <c r="H32" i="1"/>
  <c r="H10" i="1"/>
  <c r="C6" i="8"/>
  <c r="N17" i="4" l="1"/>
  <c r="C34" i="8"/>
  <c r="F22" i="3"/>
  <c r="F23" i="3" s="1"/>
  <c r="F24" i="3" s="1"/>
  <c r="F25" i="3" s="1"/>
  <c r="F27" i="7" l="1"/>
  <c r="G125" i="3"/>
  <c r="C42" i="4"/>
  <c r="F26" i="3"/>
  <c r="F27" i="3" s="1"/>
  <c r="C9" i="4" s="1"/>
  <c r="I9" i="4" l="1"/>
  <c r="C36" i="4"/>
  <c r="G19" i="1"/>
  <c r="M9" i="4" l="1"/>
  <c r="I36" i="4"/>
  <c r="G101" i="3"/>
  <c r="D18" i="4" s="1"/>
  <c r="J18" i="4" l="1"/>
  <c r="D36" i="4"/>
  <c r="F10" i="7"/>
  <c r="F14" i="7" s="1"/>
  <c r="F22" i="7" s="1"/>
  <c r="M36" i="4"/>
  <c r="M38" i="4" s="1"/>
  <c r="C39" i="4"/>
  <c r="N18" i="4" l="1"/>
  <c r="J36" i="4"/>
  <c r="C41" i="4" s="1"/>
  <c r="F28" i="7" l="1"/>
  <c r="F31" i="7" s="1"/>
  <c r="F38" i="7" s="1"/>
  <c r="N36" i="4"/>
  <c r="N38" i="4" s="1"/>
  <c r="C43" i="4" s="1"/>
</calcChain>
</file>

<file path=xl/sharedStrings.xml><?xml version="1.0" encoding="utf-8"?>
<sst xmlns="http://schemas.openxmlformats.org/spreadsheetml/2006/main" count="775" uniqueCount="189">
  <si>
    <t>Chart of Accounts and Opening Balances as at 31 March</t>
  </si>
  <si>
    <t>Account No.</t>
  </si>
  <si>
    <t>Account Name</t>
  </si>
  <si>
    <t>Balance</t>
  </si>
  <si>
    <t>DR</t>
  </si>
  <si>
    <t>CR</t>
  </si>
  <si>
    <t>Cash at Bank - ANZ</t>
  </si>
  <si>
    <t>Accounts Receivable</t>
  </si>
  <si>
    <t>Inventory</t>
  </si>
  <si>
    <t>Prepaid Insurance</t>
  </si>
  <si>
    <t xml:space="preserve">              - </t>
  </si>
  <si>
    <t>Prepaid Rent</t>
  </si>
  <si>
    <t>Office Supplies</t>
  </si>
  <si>
    <t>Store Equipment</t>
  </si>
  <si>
    <t>Accumulated Depreciation - Store Equipment</t>
  </si>
  <si>
    <t>Computer Equipment</t>
  </si>
  <si>
    <t>Accumulated Depreciation - Computer Equipment</t>
  </si>
  <si>
    <t>GST Clearing (Tax Payable GST)</t>
  </si>
  <si>
    <t>Accounts Payable</t>
  </si>
  <si>
    <t>Wages Payable</t>
  </si>
  <si>
    <t>PAYG Tax Payable</t>
  </si>
  <si>
    <t>Capital</t>
  </si>
  <si>
    <t>Drawings</t>
  </si>
  <si>
    <t>Profit or Loss Summary</t>
  </si>
  <si>
    <t>Sales Revenue</t>
  </si>
  <si>
    <t>Sales Returns &amp; Allowances</t>
  </si>
  <si>
    <t>Cost of Sales</t>
  </si>
  <si>
    <t>Bank Charges</t>
  </si>
  <si>
    <t>Depreciation Expense - Computer Equipment</t>
  </si>
  <si>
    <t>Depreciation Expense - Store Equipment</t>
  </si>
  <si>
    <t>Electrical Repairs Expense</t>
  </si>
  <si>
    <t>Insurance Expense</t>
  </si>
  <si>
    <t>Office Supplies Expense</t>
  </si>
  <si>
    <t>Rent Expense</t>
  </si>
  <si>
    <t>Telephone and Internet Expense</t>
  </si>
  <si>
    <t>Utilities Expense</t>
  </si>
  <si>
    <t>Wages Expense</t>
  </si>
  <si>
    <t xml:space="preserve">Accounts Receivable Subsidiary Ledger </t>
  </si>
  <si>
    <t>as at 31 March</t>
  </si>
  <si>
    <t>Creative Industries</t>
  </si>
  <si>
    <t>Kelvin Grove High School</t>
  </si>
  <si>
    <t>The Gap High School</t>
  </si>
  <si>
    <t xml:space="preserve">Accounts Payable Subsidiary Ledger </t>
  </si>
  <si>
    <t>Able Accountants</t>
  </si>
  <si>
    <t>Fender Guitars</t>
  </si>
  <si>
    <t>Insight Computers</t>
  </si>
  <si>
    <t>Yamaha</t>
  </si>
  <si>
    <t>List of Inventory Items</t>
  </si>
  <si>
    <t>Unit Cost $</t>
  </si>
  <si>
    <t>Total Value $</t>
  </si>
  <si>
    <t>Unit Selling Price $</t>
  </si>
  <si>
    <t>Number of units</t>
  </si>
  <si>
    <t>(excl GST)</t>
  </si>
  <si>
    <t>Acoustic Guitar</t>
  </si>
  <si>
    <t>Bass Guitar</t>
  </si>
  <si>
    <t>Electric Guitar</t>
  </si>
  <si>
    <t>Student Pack</t>
  </si>
  <si>
    <t>SALES  JOURNAL (SJ18)</t>
  </si>
  <si>
    <t>Page 18</t>
  </si>
  <si>
    <t>Date</t>
  </si>
  <si>
    <t>Account Debited</t>
  </si>
  <si>
    <t>Invoice No.</t>
  </si>
  <si>
    <t>Post Ref</t>
  </si>
  <si>
    <t>Accounts Receivable DR</t>
  </si>
  <si>
    <t>GST Clearing CR</t>
  </si>
  <si>
    <t>Sales Revenue CR</t>
  </si>
  <si>
    <t>Cost of Sales Dr                             Inventory Cr</t>
  </si>
  <si>
    <t>GG32</t>
  </si>
  <si>
    <t>ü</t>
  </si>
  <si>
    <t>GG33</t>
  </si>
  <si>
    <t>GG34</t>
  </si>
  <si>
    <t>Posting References for Totals</t>
  </si>
  <si>
    <t>501/112</t>
  </si>
  <si>
    <t>Proof</t>
  </si>
  <si>
    <t>PURCHASES JOURNAL (PJ18)</t>
  </si>
  <si>
    <t>Account Credited</t>
  </si>
  <si>
    <t>Inventory DR</t>
  </si>
  <si>
    <t>GST Clearing DR</t>
  </si>
  <si>
    <t>Accounts Payable CR</t>
  </si>
  <si>
    <t>CASH RECEIPTS JOURNAL  (CRJ17)</t>
  </si>
  <si>
    <t>Page 17</t>
  </si>
  <si>
    <t>Cash at Bank Dr</t>
  </si>
  <si>
    <t>Sales Revenue Cr</t>
  </si>
  <si>
    <t>Accounts Receivable Cr</t>
  </si>
  <si>
    <t>Other Accounts Cr</t>
  </si>
  <si>
    <t>GST Clearing Cr</t>
  </si>
  <si>
    <t>Cost of Sales Dr Inventory Cr</t>
  </si>
  <si>
    <t>C324</t>
  </si>
  <si>
    <t>C325</t>
  </si>
  <si>
    <t>x</t>
  </si>
  <si>
    <t>CASH PAYMENTS JOURNAL (CPJ25)</t>
  </si>
  <si>
    <t>Page 25</t>
  </si>
  <si>
    <t>Chq. No.</t>
  </si>
  <si>
    <t>Accounts Payable Dr</t>
  </si>
  <si>
    <t>Other Accounts Dr</t>
  </si>
  <si>
    <t>GST Clearing Dr</t>
  </si>
  <si>
    <t>Cash at Bank Cr</t>
  </si>
  <si>
    <t>General Journal (GJ62)</t>
  </si>
  <si>
    <t>Page 62</t>
  </si>
  <si>
    <t>Account Details</t>
  </si>
  <si>
    <t>Debit</t>
  </si>
  <si>
    <t>Credit</t>
  </si>
  <si>
    <t>Accounts Payable-Insight Computers</t>
  </si>
  <si>
    <r>
      <t>201/</t>
    </r>
    <r>
      <rPr>
        <sz val="10"/>
        <rFont val="Wingdings"/>
        <charset val="2"/>
      </rPr>
      <t>ü</t>
    </r>
  </si>
  <si>
    <t>Accounts Receivable-Kelvin Grove High School</t>
  </si>
  <si>
    <r>
      <t>110/</t>
    </r>
    <r>
      <rPr>
        <sz val="10"/>
        <rFont val="Wingdings"/>
        <charset val="2"/>
      </rPr>
      <t>ü</t>
    </r>
  </si>
  <si>
    <t>Accounts Payable-Yamaha</t>
  </si>
  <si>
    <t>General Journal (GJ63)</t>
  </si>
  <si>
    <t xml:space="preserve">Page 63 </t>
  </si>
  <si>
    <t xml:space="preserve">Adjusting Entries </t>
  </si>
  <si>
    <t>General Journal (GJ64)</t>
  </si>
  <si>
    <t>Page 64</t>
  </si>
  <si>
    <t>Closing Entries</t>
  </si>
  <si>
    <t>Depreciation - Computer Equipment</t>
  </si>
  <si>
    <t>Depreciation - Store Equipment</t>
  </si>
  <si>
    <t>Accounts Receivable Subsidiary Ledger</t>
  </si>
  <si>
    <t>Account:</t>
  </si>
  <si>
    <t>Jnl Ref</t>
  </si>
  <si>
    <t xml:space="preserve">Debit </t>
  </si>
  <si>
    <t>Bal</t>
  </si>
  <si>
    <t>SJ18</t>
  </si>
  <si>
    <t>CRJ17</t>
  </si>
  <si>
    <t>GJ62</t>
  </si>
  <si>
    <t>CPJ17</t>
  </si>
  <si>
    <t>SCHEDULE OF ACCOUNTS RECEIVABLE AS AT 30 APRIL</t>
  </si>
  <si>
    <t>Confirm Subsidiary Ledger Matches General Ledger Control Account</t>
  </si>
  <si>
    <t>Y/N</t>
  </si>
  <si>
    <t>YES</t>
  </si>
  <si>
    <t>Accounts Payable Subsidiary Ledger</t>
  </si>
  <si>
    <t>CPJ25</t>
  </si>
  <si>
    <t>PJ18</t>
  </si>
  <si>
    <t>SCHEDULE OF ACCOUNTS PAYABLE AS AT 30 APRIL</t>
  </si>
  <si>
    <t>Cash at Bank</t>
  </si>
  <si>
    <t xml:space="preserve">Account No. </t>
  </si>
  <si>
    <t>GJ63</t>
  </si>
  <si>
    <t>CJ62</t>
  </si>
  <si>
    <t>GJ64</t>
  </si>
  <si>
    <t>Worksheet for month ended 30 April</t>
  </si>
  <si>
    <t>Account Title</t>
  </si>
  <si>
    <t>Unadjusted Trial Balance</t>
  </si>
  <si>
    <t>Adjustments</t>
  </si>
  <si>
    <t>Adjusted Trial Balance</t>
  </si>
  <si>
    <t>Income Statement</t>
  </si>
  <si>
    <t>Balance Sheet</t>
  </si>
  <si>
    <t>Letter of adj</t>
  </si>
  <si>
    <t>Net Profit</t>
    <phoneticPr fontId="3" type="noConversion"/>
  </si>
  <si>
    <t>Proof-Unadjusted Trial Balance</t>
  </si>
  <si>
    <t>Proof-Adjustments</t>
  </si>
  <si>
    <t>Proof-Adjusted Trial Balance</t>
  </si>
  <si>
    <t>Proof-Income Statement</t>
  </si>
  <si>
    <t>Proof-Balance Sheet</t>
  </si>
  <si>
    <t>Classified Income Statement (see instructions)</t>
  </si>
  <si>
    <t>Month ended 30 April</t>
  </si>
  <si>
    <t>Revenue</t>
  </si>
  <si>
    <t>Less: Sales Returns &amp; Allowances</t>
  </si>
  <si>
    <t>Net Sales Revenue</t>
  </si>
  <si>
    <t>Gross Profit</t>
  </si>
  <si>
    <t>Selling Expenses</t>
  </si>
  <si>
    <t>Administrative Expenses</t>
  </si>
  <si>
    <t>Finance Expenses</t>
  </si>
  <si>
    <t>Total Expenses</t>
  </si>
  <si>
    <t>Profit</t>
  </si>
  <si>
    <t>Statement of Changes in Equity</t>
  </si>
  <si>
    <t>Month Ended 30 April</t>
  </si>
  <si>
    <t>A. Miles, Capital, 1 April</t>
  </si>
  <si>
    <r>
      <rPr>
        <i/>
        <sz val="10"/>
        <rFont val="Verdana"/>
        <family val="2"/>
      </rPr>
      <t>Add:</t>
    </r>
    <r>
      <rPr>
        <sz val="10"/>
        <rFont val="Verdana"/>
        <family val="2"/>
      </rPr>
      <t xml:space="preserve"> Capital</t>
    </r>
  </si>
  <si>
    <r>
      <rPr>
        <i/>
        <sz val="10"/>
        <rFont val="Verdana"/>
        <family val="2"/>
      </rPr>
      <t>Add:</t>
    </r>
    <r>
      <rPr>
        <sz val="10"/>
        <rFont val="Verdana"/>
        <family val="2"/>
      </rPr>
      <t xml:space="preserve"> Profit</t>
    </r>
  </si>
  <si>
    <r>
      <rPr>
        <i/>
        <sz val="10"/>
        <rFont val="Verdana"/>
        <family val="2"/>
      </rPr>
      <t>Less:</t>
    </r>
    <r>
      <rPr>
        <sz val="10"/>
        <rFont val="Verdana"/>
        <family val="2"/>
      </rPr>
      <t xml:space="preserve"> Drawings</t>
    </r>
  </si>
  <si>
    <t>A. Miles, Capital, 30 April</t>
  </si>
  <si>
    <t>Classified Comparative Balance Sheet as at 30 April</t>
  </si>
  <si>
    <t>30 April compared to 31 March</t>
  </si>
  <si>
    <t>ASSETS</t>
  </si>
  <si>
    <t>Current Assets</t>
  </si>
  <si>
    <t>Total Current Assets</t>
  </si>
  <si>
    <t>Non-Current Assets</t>
  </si>
  <si>
    <t>Less: Accumulated Depreciation - Store Equipment</t>
  </si>
  <si>
    <t>Less: Accumulated Depreciation - Computer Equipment</t>
  </si>
  <si>
    <t>Total Non-Current Assets</t>
  </si>
  <si>
    <t>TOTAL ASSETS</t>
  </si>
  <si>
    <t>LIABILITIES AND EQUITY</t>
  </si>
  <si>
    <t>Liabilities</t>
  </si>
  <si>
    <t>Total Liabilities</t>
  </si>
  <si>
    <t>Equity</t>
  </si>
  <si>
    <t>Less: Drawings</t>
  </si>
  <si>
    <t>Total Equity</t>
  </si>
  <si>
    <t>TOTAL LIABILITIES AND EQUITY</t>
  </si>
  <si>
    <t>Post Closing Trial Balance</t>
  </si>
  <si>
    <t>as at 30 April</t>
  </si>
  <si>
    <t>(After the closing journal entries are posted into the general ledger)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</si>
</sst>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_);_(* \(#,##0\);_(* &quot;-&quot;_);_(@_)"/>
    <numFmt numFmtId="165" formatCode="_(* #,##0.00_);_(* \(#,##0.00\);_(* &quot;-&quot;??_);_(@_)"/>
    <numFmt numFmtId="166" formatCode="_(* #,##0_);_(* \(#,##0\);_(* &quot;-&quot;??_);_(@_)"/>
  </numFmts>
  <fonts count="15" x14ac:knownFonts="1">
    <font>
      <sz val="10"/>
      <name val="Verdana"/>
    </font>
    <font>
      <b/>
      <sz val="10"/>
      <name val="Verdana"/>
      <family val="2"/>
    </font>
    <font>
      <sz val="10"/>
      <name val="Verdana"/>
      <family val="2"/>
    </font>
    <font>
      <sz val="8"/>
      <name val="Verdana"/>
      <family val="2"/>
    </font>
    <font>
      <sz val="18"/>
      <name val="Verdana"/>
      <family val="2"/>
    </font>
    <font>
      <b/>
      <sz val="12"/>
      <name val="Verdana"/>
      <family val="2"/>
    </font>
    <font>
      <b/>
      <sz val="14"/>
      <name val="Verdana"/>
      <family val="2"/>
    </font>
    <font>
      <sz val="10"/>
      <name val="Symbol"/>
      <family val="1"/>
      <charset val="2"/>
    </font>
    <font>
      <sz val="10"/>
      <color theme="3"/>
      <name val="Verdana"/>
      <family val="2"/>
    </font>
    <font>
      <b/>
      <sz val="18"/>
      <name val="Verdana"/>
      <family val="2"/>
    </font>
    <font>
      <sz val="16"/>
      <name val="Verdana"/>
      <family val="2"/>
    </font>
    <font>
      <sz val="9"/>
      <name val="Verdana"/>
      <family val="2"/>
    </font>
    <font>
      <b/>
      <sz val="7.5"/>
      <name val="Verdana"/>
      <family val="2"/>
    </font>
    <font>
      <sz val="10"/>
      <name val="Wingdings"/>
      <charset val="2"/>
    </font>
    <font>
      <i/>
      <sz val="10"/>
      <name val="Verdana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3">
    <xf numFmtId="0" fontId="0" fillId="0" borderId="0"/>
    <xf numFmtId="165" fontId="2" fillId="0" borderId="0" applyFont="0" applyFill="0" applyBorder="0" applyAlignment="0" applyProtection="0"/>
    <xf numFmtId="0" fontId="2" fillId="0" borderId="0"/>
  </cellStyleXfs>
  <cellXfs count="67">
    <xf numFmtId="0" fontId="0" fillId="0" borderId="0" xfId="0"/>
    <xf numFmtId="0" fontId="1" fillId="0" borderId="0" xfId="0" applyFont="1"/>
    <xf numFmtId="16" fontId="0" fillId="0" borderId="0" xfId="0" applyNumberFormat="1"/>
    <xf numFmtId="0" fontId="0" fillId="0" borderId="0" xfId="0" applyAlignment="1">
      <alignment wrapText="1"/>
    </xf>
    <xf numFmtId="3" fontId="0" fillId="0" borderId="0" xfId="0" applyNumberFormat="1"/>
    <xf numFmtId="0" fontId="0" fillId="0" borderId="0" xfId="0" applyAlignment="1">
      <alignment horizontal="center"/>
    </xf>
    <xf numFmtId="3" fontId="2" fillId="0" borderId="0" xfId="0" applyNumberFormat="1" applyFont="1"/>
    <xf numFmtId="164" fontId="0" fillId="0" borderId="0" xfId="1" applyNumberFormat="1" applyFont="1"/>
    <xf numFmtId="0" fontId="4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164" fontId="2" fillId="0" borderId="0" xfId="1" applyNumberFormat="1" applyFont="1"/>
    <xf numFmtId="0" fontId="5" fillId="0" borderId="0" xfId="0" applyFont="1"/>
    <xf numFmtId="0" fontId="5" fillId="0" borderId="0" xfId="0" applyFont="1" applyAlignment="1">
      <alignment horizontal="centerContinuous"/>
    </xf>
    <xf numFmtId="164" fontId="2" fillId="0" borderId="1" xfId="1" applyNumberFormat="1" applyFont="1" applyBorder="1"/>
    <xf numFmtId="3" fontId="0" fillId="0" borderId="1" xfId="0" applyNumberFormat="1" applyBorder="1"/>
    <xf numFmtId="3" fontId="2" fillId="0" borderId="1" xfId="0" applyNumberFormat="1" applyFont="1" applyBorder="1"/>
    <xf numFmtId="3" fontId="2" fillId="0" borderId="0" xfId="0" applyNumberFormat="1" applyFont="1" applyAlignment="1">
      <alignment wrapText="1"/>
    </xf>
    <xf numFmtId="3" fontId="2" fillId="0" borderId="0" xfId="0" applyNumberFormat="1" applyFont="1" applyAlignment="1">
      <alignment horizontal="center"/>
    </xf>
    <xf numFmtId="164" fontId="0" fillId="0" borderId="1" xfId="0" applyNumberFormat="1" applyBorder="1"/>
    <xf numFmtId="3" fontId="5" fillId="0" borderId="0" xfId="0" applyNumberFormat="1" applyFont="1" applyAlignment="1">
      <alignment horizontal="centerContinuous"/>
    </xf>
    <xf numFmtId="0" fontId="1" fillId="0" borderId="0" xfId="0" applyFont="1" applyAlignment="1">
      <alignment horizontal="centerContinuous"/>
    </xf>
    <xf numFmtId="16" fontId="6" fillId="0" borderId="0" xfId="0" applyNumberFormat="1" applyFont="1"/>
    <xf numFmtId="164" fontId="0" fillId="0" borderId="0" xfId="0" applyNumberFormat="1"/>
    <xf numFmtId="3" fontId="1" fillId="0" borderId="0" xfId="0" applyNumberFormat="1" applyFont="1"/>
    <xf numFmtId="0" fontId="2" fillId="0" borderId="0" xfId="0" applyFont="1"/>
    <xf numFmtId="16" fontId="2" fillId="0" borderId="0" xfId="0" applyNumberFormat="1" applyFont="1"/>
    <xf numFmtId="0" fontId="2" fillId="0" borderId="0" xfId="0" applyFont="1" applyAlignment="1">
      <alignment horizontal="centerContinuous"/>
    </xf>
    <xf numFmtId="164" fontId="2" fillId="0" borderId="0" xfId="1" applyNumberFormat="1" applyFont="1" applyBorder="1"/>
    <xf numFmtId="3" fontId="7" fillId="0" borderId="0" xfId="0" applyNumberFormat="1" applyFont="1"/>
    <xf numFmtId="3" fontId="7" fillId="0" borderId="0" xfId="0" applyNumberFormat="1" applyFont="1" applyAlignment="1">
      <alignment horizontal="center"/>
    </xf>
    <xf numFmtId="164" fontId="7" fillId="0" borderId="0" xfId="0" applyNumberFormat="1" applyFont="1" applyAlignment="1">
      <alignment horizontal="center"/>
    </xf>
    <xf numFmtId="0" fontId="8" fillId="0" borderId="0" xfId="0" applyFont="1"/>
    <xf numFmtId="3" fontId="2" fillId="0" borderId="0" xfId="0" quotePrefix="1" applyNumberFormat="1" applyFont="1" applyAlignment="1">
      <alignment horizontal="center"/>
    </xf>
    <xf numFmtId="0" fontId="9" fillId="0" borderId="0" xfId="0" applyFont="1" applyAlignment="1">
      <alignment horizontal="centerContinuous"/>
    </xf>
    <xf numFmtId="0" fontId="10" fillId="0" borderId="0" xfId="0" applyFont="1" applyAlignment="1">
      <alignment horizontal="centerContinuous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7" fillId="0" borderId="0" xfId="0" applyFont="1" applyAlignment="1">
      <alignment horizontal="center"/>
    </xf>
    <xf numFmtId="0" fontId="2" fillId="0" borderId="0" xfId="0" quotePrefix="1" applyFont="1"/>
    <xf numFmtId="0" fontId="11" fillId="0" borderId="0" xfId="0" applyFont="1" applyAlignment="1">
      <alignment horizontal="center" wrapText="1"/>
    </xf>
    <xf numFmtId="0" fontId="11" fillId="0" borderId="0" xfId="0" applyFont="1" applyAlignment="1">
      <alignment horizontal="center"/>
    </xf>
    <xf numFmtId="3" fontId="2" fillId="0" borderId="0" xfId="0" applyNumberFormat="1" applyFont="1" applyAlignment="1">
      <alignment horizontal="center" wrapText="1"/>
    </xf>
    <xf numFmtId="0" fontId="12" fillId="0" borderId="0" xfId="0" applyFont="1" applyAlignment="1">
      <alignment horizontal="centerContinuous" wrapText="1"/>
    </xf>
    <xf numFmtId="0" fontId="12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164" fontId="0" fillId="0" borderId="1" xfId="0" applyNumberFormat="1" applyBorder="1" applyAlignment="1">
      <alignment horizontal="center"/>
    </xf>
    <xf numFmtId="164" fontId="2" fillId="0" borderId="0" xfId="1" applyNumberFormat="1" applyFont="1" applyAlignment="1">
      <alignment horizontal="center"/>
    </xf>
    <xf numFmtId="0" fontId="4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16" fontId="2" fillId="0" borderId="0" xfId="0" quotePrefix="1" applyNumberFormat="1" applyFont="1"/>
    <xf numFmtId="0" fontId="2" fillId="0" borderId="0" xfId="0" applyFont="1" applyAlignment="1">
      <alignment horizontal="right"/>
    </xf>
    <xf numFmtId="3" fontId="13" fillId="0" borderId="0" xfId="0" applyNumberFormat="1" applyFont="1"/>
    <xf numFmtId="164" fontId="2" fillId="0" borderId="2" xfId="1" applyNumberFormat="1" applyFont="1" applyBorder="1"/>
    <xf numFmtId="164" fontId="7" fillId="0" borderId="2" xfId="0" applyNumberFormat="1" applyFont="1" applyBorder="1" applyAlignment="1">
      <alignment horizontal="center"/>
    </xf>
    <xf numFmtId="164" fontId="0" fillId="0" borderId="2" xfId="0" applyNumberFormat="1" applyBorder="1"/>
    <xf numFmtId="164" fontId="0" fillId="0" borderId="3" xfId="0" applyNumberFormat="1" applyBorder="1"/>
    <xf numFmtId="166" fontId="0" fillId="0" borderId="0" xfId="1" applyNumberFormat="1" applyFont="1"/>
    <xf numFmtId="166" fontId="0" fillId="0" borderId="2" xfId="1" applyNumberFormat="1" applyFont="1" applyBorder="1"/>
    <xf numFmtId="166" fontId="0" fillId="0" borderId="1" xfId="1" applyNumberFormat="1" applyFont="1" applyBorder="1"/>
    <xf numFmtId="166" fontId="0" fillId="0" borderId="1" xfId="0" applyNumberFormat="1" applyBorder="1"/>
    <xf numFmtId="3" fontId="0" fillId="0" borderId="0" xfId="0" applyNumberFormat="1" applyAlignment="1">
      <alignment horizontal="right"/>
    </xf>
    <xf numFmtId="164" fontId="0" fillId="0" borderId="4" xfId="1" applyNumberFormat="1" applyFont="1" applyBorder="1"/>
    <xf numFmtId="164" fontId="0" fillId="0" borderId="5" xfId="1" applyNumberFormat="1" applyFont="1" applyBorder="1"/>
    <xf numFmtId="0" fontId="5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3">
    <cellStyle name="Comma" xfId="1" builtinId="3"/>
    <cellStyle name="Normal" xfId="0" builtinId="0"/>
    <cellStyle name="Normal 2" xfId="2" xr:uid="{00000000-0005-0000-0000-000002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60"/>
  <sheetViews>
    <sheetView view="pageLayout" zoomScale="85" zoomScaleNormal="100" zoomScalePageLayoutView="85" workbookViewId="0">
      <selection activeCell="F12" sqref="F12"/>
    </sheetView>
  </sheetViews>
  <sheetFormatPr defaultColWidth="11" defaultRowHeight="13.5" x14ac:dyDescent="0.3"/>
  <cols>
    <col min="1" max="1" width="9.84375" customWidth="1"/>
    <col min="2" max="2" width="40.15234375" customWidth="1"/>
    <col min="6" max="6" width="14.61328125" customWidth="1"/>
  </cols>
  <sheetData>
    <row r="1" spans="1:4" ht="15" x14ac:dyDescent="0.3">
      <c r="A1" s="12" t="s">
        <v>0</v>
      </c>
      <c r="B1" s="9"/>
      <c r="C1" s="9"/>
      <c r="D1" s="9"/>
    </row>
    <row r="2" spans="1:4" x14ac:dyDescent="0.3">
      <c r="A2" s="36" t="s">
        <v>1</v>
      </c>
      <c r="B2" t="s">
        <v>2</v>
      </c>
      <c r="C2" s="9" t="s">
        <v>3</v>
      </c>
      <c r="D2" s="9"/>
    </row>
    <row r="3" spans="1:4" x14ac:dyDescent="0.3">
      <c r="A3" s="36"/>
      <c r="C3" s="9" t="s">
        <v>4</v>
      </c>
      <c r="D3" s="9" t="s">
        <v>5</v>
      </c>
    </row>
    <row r="4" spans="1:4" x14ac:dyDescent="0.3">
      <c r="A4" s="36">
        <v>101</v>
      </c>
      <c r="B4" t="s">
        <v>6</v>
      </c>
      <c r="C4" s="10">
        <f>12580+2290</f>
        <v>14870</v>
      </c>
      <c r="D4" s="10"/>
    </row>
    <row r="5" spans="1:4" x14ac:dyDescent="0.3">
      <c r="A5" s="36">
        <v>110</v>
      </c>
      <c r="B5" t="s">
        <v>7</v>
      </c>
      <c r="C5" s="10">
        <f>+C41</f>
        <v>56518</v>
      </c>
      <c r="D5" s="10"/>
    </row>
    <row r="6" spans="1:4" x14ac:dyDescent="0.3">
      <c r="A6" s="36">
        <v>112</v>
      </c>
      <c r="B6" s="24" t="s">
        <v>8</v>
      </c>
      <c r="C6" s="10">
        <f>+E59</f>
        <v>24480</v>
      </c>
      <c r="D6" s="10"/>
    </row>
    <row r="7" spans="1:4" x14ac:dyDescent="0.3">
      <c r="A7" s="36">
        <v>115</v>
      </c>
      <c r="B7" t="s">
        <v>9</v>
      </c>
      <c r="C7" s="10" t="s">
        <v>10</v>
      </c>
      <c r="D7" s="10"/>
    </row>
    <row r="8" spans="1:4" x14ac:dyDescent="0.3">
      <c r="A8" s="36">
        <v>116</v>
      </c>
      <c r="B8" t="s">
        <v>11</v>
      </c>
      <c r="C8" s="10">
        <v>15000</v>
      </c>
      <c r="D8" s="10"/>
    </row>
    <row r="9" spans="1:4" x14ac:dyDescent="0.3">
      <c r="A9" s="36">
        <v>118</v>
      </c>
      <c r="B9" s="24" t="s">
        <v>12</v>
      </c>
      <c r="C9" s="10">
        <v>1520</v>
      </c>
      <c r="D9" s="10"/>
    </row>
    <row r="10" spans="1:4" x14ac:dyDescent="0.3">
      <c r="A10" s="36">
        <v>130</v>
      </c>
      <c r="B10" s="24" t="s">
        <v>13</v>
      </c>
      <c r="C10" s="10">
        <v>29080</v>
      </c>
    </row>
    <row r="11" spans="1:4" x14ac:dyDescent="0.3">
      <c r="A11" s="36">
        <v>131</v>
      </c>
      <c r="B11" s="24" t="s">
        <v>14</v>
      </c>
      <c r="C11" s="10"/>
      <c r="D11" s="10">
        <v>14040</v>
      </c>
    </row>
    <row r="12" spans="1:4" x14ac:dyDescent="0.3">
      <c r="A12" s="36">
        <v>135</v>
      </c>
      <c r="B12" t="s">
        <v>15</v>
      </c>
      <c r="C12" s="10">
        <v>24460</v>
      </c>
    </row>
    <row r="13" spans="1:4" x14ac:dyDescent="0.3">
      <c r="A13" s="36">
        <v>136</v>
      </c>
      <c r="B13" t="s">
        <v>16</v>
      </c>
      <c r="C13" s="10"/>
      <c r="D13" s="10">
        <v>15288</v>
      </c>
    </row>
    <row r="14" spans="1:4" x14ac:dyDescent="0.3">
      <c r="A14" s="36">
        <v>200</v>
      </c>
      <c r="B14" s="24" t="s">
        <v>17</v>
      </c>
      <c r="C14" s="10"/>
      <c r="D14" s="10">
        <v>12450</v>
      </c>
    </row>
    <row r="15" spans="1:4" x14ac:dyDescent="0.3">
      <c r="A15" s="36">
        <v>201</v>
      </c>
      <c r="B15" t="s">
        <v>18</v>
      </c>
      <c r="C15" s="10"/>
      <c r="D15" s="10">
        <v>28970</v>
      </c>
    </row>
    <row r="16" spans="1:4" x14ac:dyDescent="0.3">
      <c r="A16" s="36">
        <v>203</v>
      </c>
      <c r="B16" t="s">
        <v>19</v>
      </c>
      <c r="C16" s="10"/>
      <c r="D16" s="10" t="s">
        <v>10</v>
      </c>
    </row>
    <row r="17" spans="1:4" x14ac:dyDescent="0.3">
      <c r="A17" s="36">
        <v>205</v>
      </c>
      <c r="B17" t="s">
        <v>20</v>
      </c>
      <c r="C17" s="10"/>
      <c r="D17" s="10">
        <v>5180</v>
      </c>
    </row>
    <row r="18" spans="1:4" x14ac:dyDescent="0.3">
      <c r="A18" s="36">
        <v>301</v>
      </c>
      <c r="B18" t="s">
        <v>21</v>
      </c>
      <c r="C18" s="10"/>
      <c r="D18" s="10">
        <v>90000</v>
      </c>
    </row>
    <row r="19" spans="1:4" x14ac:dyDescent="0.3">
      <c r="A19" s="36">
        <v>302</v>
      </c>
      <c r="B19" t="s">
        <v>22</v>
      </c>
    </row>
    <row r="20" spans="1:4" x14ac:dyDescent="0.3">
      <c r="A20" s="36">
        <v>307</v>
      </c>
      <c r="B20" s="24" t="s">
        <v>23</v>
      </c>
    </row>
    <row r="21" spans="1:4" x14ac:dyDescent="0.3">
      <c r="A21" s="36">
        <v>401</v>
      </c>
      <c r="B21" s="24" t="s">
        <v>24</v>
      </c>
    </row>
    <row r="22" spans="1:4" x14ac:dyDescent="0.3">
      <c r="A22" s="36">
        <v>402</v>
      </c>
      <c r="B22" s="24" t="s">
        <v>25</v>
      </c>
    </row>
    <row r="23" spans="1:4" x14ac:dyDescent="0.3">
      <c r="A23" s="36">
        <v>501</v>
      </c>
      <c r="B23" s="24" t="s">
        <v>26</v>
      </c>
    </row>
    <row r="24" spans="1:4" x14ac:dyDescent="0.3">
      <c r="A24" s="36">
        <v>503</v>
      </c>
      <c r="B24" t="s">
        <v>27</v>
      </c>
    </row>
    <row r="25" spans="1:4" x14ac:dyDescent="0.3">
      <c r="A25" s="36">
        <v>505</v>
      </c>
      <c r="B25" t="s">
        <v>28</v>
      </c>
    </row>
    <row r="26" spans="1:4" x14ac:dyDescent="0.3">
      <c r="A26" s="36">
        <v>506</v>
      </c>
      <c r="B26" t="s">
        <v>29</v>
      </c>
    </row>
    <row r="27" spans="1:4" x14ac:dyDescent="0.3">
      <c r="A27" s="36">
        <v>510</v>
      </c>
      <c r="B27" s="24" t="s">
        <v>30</v>
      </c>
    </row>
    <row r="28" spans="1:4" x14ac:dyDescent="0.3">
      <c r="A28" s="36">
        <v>520</v>
      </c>
      <c r="B28" t="s">
        <v>31</v>
      </c>
    </row>
    <row r="29" spans="1:4" x14ac:dyDescent="0.3">
      <c r="A29" s="36">
        <v>542</v>
      </c>
      <c r="B29" t="s">
        <v>32</v>
      </c>
    </row>
    <row r="30" spans="1:4" x14ac:dyDescent="0.3">
      <c r="A30" s="36">
        <v>560</v>
      </c>
      <c r="B30" s="24" t="s">
        <v>33</v>
      </c>
    </row>
    <row r="31" spans="1:4" x14ac:dyDescent="0.3">
      <c r="A31" s="36">
        <v>580</v>
      </c>
      <c r="B31" t="s">
        <v>34</v>
      </c>
    </row>
    <row r="32" spans="1:4" x14ac:dyDescent="0.3">
      <c r="A32" s="36">
        <v>582</v>
      </c>
      <c r="B32" t="s">
        <v>35</v>
      </c>
    </row>
    <row r="33" spans="1:5" x14ac:dyDescent="0.3">
      <c r="A33" s="36">
        <v>585</v>
      </c>
      <c r="B33" s="24" t="s">
        <v>36</v>
      </c>
    </row>
    <row r="34" spans="1:5" ht="15.5" thickBot="1" x14ac:dyDescent="0.35">
      <c r="B34" s="12"/>
      <c r="C34" s="18">
        <f>SUM(C4:C33)</f>
        <v>165928</v>
      </c>
      <c r="D34" s="18">
        <f>SUM(D4:D33)</f>
        <v>165928</v>
      </c>
    </row>
    <row r="35" spans="1:5" ht="14" thickTop="1" x14ac:dyDescent="0.3">
      <c r="D35" s="22"/>
      <c r="E35" s="22"/>
    </row>
    <row r="36" spans="1:5" ht="15" x14ac:dyDescent="0.3">
      <c r="A36" s="12" t="s">
        <v>37</v>
      </c>
      <c r="B36" s="12"/>
      <c r="C36" s="12"/>
      <c r="D36" s="12"/>
    </row>
    <row r="37" spans="1:5" ht="15" x14ac:dyDescent="0.3">
      <c r="A37" s="12" t="s">
        <v>38</v>
      </c>
      <c r="B37" s="12"/>
      <c r="C37" s="12"/>
      <c r="D37" s="12"/>
    </row>
    <row r="38" spans="1:5" x14ac:dyDescent="0.3">
      <c r="B38" s="24" t="s">
        <v>39</v>
      </c>
      <c r="C38" s="10">
        <v>23120</v>
      </c>
    </row>
    <row r="39" spans="1:5" x14ac:dyDescent="0.3">
      <c r="B39" s="24" t="s">
        <v>40</v>
      </c>
      <c r="C39" s="10">
        <v>7448</v>
      </c>
    </row>
    <row r="40" spans="1:5" x14ac:dyDescent="0.3">
      <c r="B40" s="24" t="s">
        <v>41</v>
      </c>
      <c r="C40" s="10">
        <v>25950</v>
      </c>
    </row>
    <row r="41" spans="1:5" ht="14" thickBot="1" x14ac:dyDescent="0.35">
      <c r="C41" s="13">
        <f>SUM(C38:C40)</f>
        <v>56518</v>
      </c>
    </row>
    <row r="42" spans="1:5" ht="14" thickTop="1" x14ac:dyDescent="0.3"/>
    <row r="43" spans="1:5" ht="15" x14ac:dyDescent="0.3">
      <c r="A43" s="12" t="s">
        <v>42</v>
      </c>
      <c r="B43" s="12"/>
      <c r="C43" s="12"/>
      <c r="D43" s="12"/>
    </row>
    <row r="44" spans="1:5" ht="15" x14ac:dyDescent="0.3">
      <c r="A44" s="12" t="s">
        <v>38</v>
      </c>
      <c r="B44" s="12"/>
      <c r="C44" s="12"/>
      <c r="D44" s="12"/>
    </row>
    <row r="46" spans="1:5" x14ac:dyDescent="0.3">
      <c r="B46" t="s">
        <v>43</v>
      </c>
      <c r="D46" s="10">
        <v>3850</v>
      </c>
    </row>
    <row r="47" spans="1:5" x14ac:dyDescent="0.3">
      <c r="B47" s="24" t="s">
        <v>44</v>
      </c>
      <c r="D47" s="10">
        <v>16500</v>
      </c>
    </row>
    <row r="48" spans="1:5" x14ac:dyDescent="0.3">
      <c r="B48" t="s">
        <v>45</v>
      </c>
      <c r="D48" s="10">
        <v>4520</v>
      </c>
    </row>
    <row r="49" spans="1:6" x14ac:dyDescent="0.3">
      <c r="B49" s="24" t="s">
        <v>46</v>
      </c>
      <c r="D49" s="10">
        <v>4100</v>
      </c>
    </row>
    <row r="50" spans="1:6" ht="14" thickBot="1" x14ac:dyDescent="0.35">
      <c r="D50" s="13">
        <f>SUM(D46:D49)</f>
        <v>28970</v>
      </c>
    </row>
    <row r="51" spans="1:6" ht="14" thickTop="1" x14ac:dyDescent="0.3">
      <c r="C51" s="27"/>
    </row>
    <row r="52" spans="1:6" ht="15" x14ac:dyDescent="0.3">
      <c r="A52" s="12" t="s">
        <v>47</v>
      </c>
      <c r="B52" s="12"/>
      <c r="C52" s="27"/>
    </row>
    <row r="53" spans="1:6" ht="15" x14ac:dyDescent="0.3">
      <c r="A53" s="12" t="s">
        <v>38</v>
      </c>
      <c r="B53" s="12"/>
      <c r="C53" s="40"/>
      <c r="D53" s="40" t="s">
        <v>48</v>
      </c>
      <c r="E53" s="40" t="s">
        <v>49</v>
      </c>
      <c r="F53" s="40" t="s">
        <v>50</v>
      </c>
    </row>
    <row r="54" spans="1:6" ht="23.5" x14ac:dyDescent="0.3">
      <c r="B54" s="12"/>
      <c r="C54" s="39" t="s">
        <v>51</v>
      </c>
      <c r="D54" s="40" t="s">
        <v>52</v>
      </c>
      <c r="E54" s="40" t="s">
        <v>52</v>
      </c>
      <c r="F54" s="40" t="s">
        <v>52</v>
      </c>
    </row>
    <row r="55" spans="1:6" x14ac:dyDescent="0.3">
      <c r="B55" s="24" t="s">
        <v>53</v>
      </c>
      <c r="C55" s="24">
        <v>64</v>
      </c>
      <c r="D55" s="24">
        <v>180</v>
      </c>
      <c r="E55" s="10">
        <f>+C55*D55</f>
        <v>11520</v>
      </c>
      <c r="F55">
        <f>+D55*2</f>
        <v>360</v>
      </c>
    </row>
    <row r="56" spans="1:6" x14ac:dyDescent="0.3">
      <c r="B56" s="24" t="s">
        <v>54</v>
      </c>
      <c r="C56" s="24">
        <v>23</v>
      </c>
      <c r="D56" s="24">
        <v>170</v>
      </c>
      <c r="E56" s="10">
        <f t="shared" ref="E56:E58" si="0">+C56*D56</f>
        <v>3910</v>
      </c>
      <c r="F56">
        <f t="shared" ref="F56:F58" si="1">+D56*2</f>
        <v>340</v>
      </c>
    </row>
    <row r="57" spans="1:6" x14ac:dyDescent="0.3">
      <c r="B57" s="24" t="s">
        <v>55</v>
      </c>
      <c r="C57" s="24">
        <v>20</v>
      </c>
      <c r="D57" s="24">
        <v>190</v>
      </c>
      <c r="E57" s="10">
        <f t="shared" si="0"/>
        <v>3800</v>
      </c>
      <c r="F57">
        <f t="shared" si="1"/>
        <v>380</v>
      </c>
    </row>
    <row r="58" spans="1:6" x14ac:dyDescent="0.3">
      <c r="B58" s="24" t="s">
        <v>56</v>
      </c>
      <c r="C58" s="24">
        <v>35</v>
      </c>
      <c r="D58" s="24">
        <v>150</v>
      </c>
      <c r="E58" s="10">
        <f t="shared" si="0"/>
        <v>5250</v>
      </c>
      <c r="F58">
        <f t="shared" si="1"/>
        <v>300</v>
      </c>
    </row>
    <row r="59" spans="1:6" ht="14" thickBot="1" x14ac:dyDescent="0.35">
      <c r="E59" s="13">
        <f>SUM(E55:E58)</f>
        <v>24480</v>
      </c>
    </row>
    <row r="60" spans="1:6" ht="14" thickTop="1" x14ac:dyDescent="0.3"/>
  </sheetData>
  <phoneticPr fontId="3" type="noConversion"/>
  <printOptions gridLines="1"/>
  <pageMargins left="0.35000000000000003" right="0.35000000000000003" top="0.79000000000000015" bottom="0.99" header="0.51" footer="0.51"/>
  <pageSetup scale="83" orientation="portrait" horizontalDpi="1200" verticalDpi="1200" r:id="rId1"/>
  <headerFooter alignWithMargins="0">
    <oddHeader>&amp;C&amp;"Verdana,Bold"&amp;16Strum and Co. EXCEL TEMPLATE</oddHeader>
    <oddFooter>&amp;L &amp;CMinh Thong Le n10851682&amp;RPage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33"/>
  <sheetViews>
    <sheetView view="pageLayout" zoomScale="85" zoomScaleNormal="100" zoomScalePageLayoutView="85" workbookViewId="0">
      <selection activeCell="C128" sqref="C128"/>
    </sheetView>
  </sheetViews>
  <sheetFormatPr defaultColWidth="11" defaultRowHeight="13.5" x14ac:dyDescent="0.3"/>
  <cols>
    <col min="1" max="1" width="9.84375" customWidth="1"/>
    <col min="2" max="2" width="40.15234375" customWidth="1"/>
    <col min="3" max="3" width="12.15234375" customWidth="1"/>
    <col min="4" max="4" width="10" style="6" customWidth="1"/>
    <col min="5" max="5" width="11.61328125" style="6" customWidth="1"/>
    <col min="6" max="7" width="10" style="6" customWidth="1"/>
    <col min="8" max="9" width="14.15234375" style="6" customWidth="1"/>
  </cols>
  <sheetData>
    <row r="1" spans="1:8" ht="15" x14ac:dyDescent="0.3">
      <c r="A1" s="12" t="s">
        <v>57</v>
      </c>
      <c r="B1" s="12"/>
      <c r="C1" s="12" t="s">
        <v>58</v>
      </c>
      <c r="D1" s="12"/>
      <c r="E1" s="12"/>
      <c r="F1" s="12"/>
      <c r="G1" s="12"/>
    </row>
    <row r="2" spans="1:8" ht="40.5" x14ac:dyDescent="0.3">
      <c r="A2" t="s">
        <v>59</v>
      </c>
      <c r="B2" t="s">
        <v>60</v>
      </c>
      <c r="C2" t="s">
        <v>61</v>
      </c>
      <c r="D2" s="6" t="s">
        <v>62</v>
      </c>
      <c r="E2" s="16" t="s">
        <v>63</v>
      </c>
      <c r="F2" s="16" t="s">
        <v>64</v>
      </c>
      <c r="G2" s="16" t="s">
        <v>65</v>
      </c>
      <c r="H2" s="16" t="s">
        <v>66</v>
      </c>
    </row>
    <row r="3" spans="1:8" x14ac:dyDescent="0.3">
      <c r="A3" s="2">
        <v>44287</v>
      </c>
      <c r="B3" s="24" t="s">
        <v>39</v>
      </c>
      <c r="C3" s="24" t="s">
        <v>67</v>
      </c>
      <c r="D3" s="52" t="s">
        <v>68</v>
      </c>
      <c r="E3" s="6">
        <f>SUM(F3:G3)</f>
        <v>11880</v>
      </c>
      <c r="F3" s="6">
        <f>G3*0.1</f>
        <v>1080</v>
      </c>
      <c r="G3" s="6">
        <f>30*'Chart of Accounts'!F55</f>
        <v>10800</v>
      </c>
      <c r="H3" s="6">
        <f>30*'Chart of Accounts'!D55</f>
        <v>5400</v>
      </c>
    </row>
    <row r="4" spans="1:8" x14ac:dyDescent="0.3">
      <c r="A4" s="2">
        <v>44295</v>
      </c>
      <c r="B4" s="24" t="s">
        <v>40</v>
      </c>
      <c r="C4" s="24" t="s">
        <v>69</v>
      </c>
      <c r="D4" s="52" t="s">
        <v>68</v>
      </c>
      <c r="E4" s="6">
        <f>G4+F4</f>
        <v>12144</v>
      </c>
      <c r="F4" s="6">
        <f>G4*0.1</f>
        <v>1104</v>
      </c>
      <c r="G4" s="6">
        <f>6*'Chart of Accounts'!F56+30*'Chart of Accounts'!F58</f>
        <v>11040</v>
      </c>
      <c r="H4" s="6">
        <f>6*'Chart of Accounts'!D56+30*'Chart of Accounts'!D58</f>
        <v>5520</v>
      </c>
    </row>
    <row r="5" spans="1:8" x14ac:dyDescent="0.3">
      <c r="A5" s="2">
        <v>44311</v>
      </c>
      <c r="B5" s="24" t="s">
        <v>41</v>
      </c>
      <c r="C5" s="24" t="s">
        <v>70</v>
      </c>
      <c r="D5" s="52" t="s">
        <v>68</v>
      </c>
      <c r="E5" s="6">
        <f>G5+F5</f>
        <v>14520</v>
      </c>
      <c r="F5" s="6">
        <f>G5*0.1</f>
        <v>1320</v>
      </c>
      <c r="G5" s="6">
        <f>20*'Chart of Accounts'!F58+20*'Chart of Accounts'!F55</f>
        <v>13200</v>
      </c>
      <c r="H5" s="6">
        <f>20*'Chart of Accounts'!D58+20*'Chart of Accounts'!D55</f>
        <v>6600</v>
      </c>
    </row>
    <row r="6" spans="1:8" x14ac:dyDescent="0.3">
      <c r="A6" s="2"/>
      <c r="B6" s="24"/>
      <c r="C6" s="24"/>
    </row>
    <row r="7" spans="1:8" x14ac:dyDescent="0.3">
      <c r="A7" s="2"/>
    </row>
    <row r="8" spans="1:8" ht="14" thickBot="1" x14ac:dyDescent="0.35">
      <c r="A8" s="2"/>
      <c r="E8" s="15">
        <f>SUM(E3:E5)</f>
        <v>38544</v>
      </c>
      <c r="F8" s="15">
        <f t="shared" ref="F8:H8" si="0">SUM(F3:F5)</f>
        <v>3504</v>
      </c>
      <c r="G8" s="15">
        <f t="shared" si="0"/>
        <v>35040</v>
      </c>
      <c r="H8" s="15">
        <f t="shared" si="0"/>
        <v>17520</v>
      </c>
    </row>
    <row r="9" spans="1:8" ht="14" thickTop="1" x14ac:dyDescent="0.3">
      <c r="A9" s="2" t="s">
        <v>71</v>
      </c>
      <c r="E9" s="6">
        <v>110</v>
      </c>
      <c r="F9" s="6">
        <v>200</v>
      </c>
      <c r="G9" s="6">
        <v>401</v>
      </c>
      <c r="H9" s="32" t="s">
        <v>72</v>
      </c>
    </row>
    <row r="10" spans="1:8" x14ac:dyDescent="0.3">
      <c r="A10" s="2"/>
      <c r="F10" s="37"/>
      <c r="G10" s="16" t="s">
        <v>73</v>
      </c>
      <c r="H10" s="29">
        <f>SUM(E8)-SUM(F8:G8)</f>
        <v>0</v>
      </c>
    </row>
    <row r="11" spans="1:8" ht="15" x14ac:dyDescent="0.3">
      <c r="A11" s="2"/>
      <c r="B11" s="12" t="s">
        <v>74</v>
      </c>
      <c r="C11" s="12" t="s">
        <v>58</v>
      </c>
      <c r="D11" s="12"/>
      <c r="E11" s="12"/>
      <c r="F11" s="12"/>
      <c r="G11" s="12"/>
    </row>
    <row r="12" spans="1:8" ht="40.5" x14ac:dyDescent="0.3">
      <c r="A12" s="2" t="s">
        <v>59</v>
      </c>
      <c r="B12" t="s">
        <v>75</v>
      </c>
      <c r="D12" s="6" t="s">
        <v>62</v>
      </c>
      <c r="E12" s="16" t="s">
        <v>76</v>
      </c>
      <c r="F12" s="16" t="s">
        <v>77</v>
      </c>
      <c r="G12" s="16" t="s">
        <v>78</v>
      </c>
      <c r="H12" s="16"/>
    </row>
    <row r="13" spans="1:8" x14ac:dyDescent="0.3">
      <c r="A13" s="2">
        <v>44288</v>
      </c>
      <c r="B13" s="24" t="s">
        <v>46</v>
      </c>
      <c r="D13" s="52" t="s">
        <v>68</v>
      </c>
      <c r="E13" s="6">
        <f>40*'Chart of Accounts'!D55</f>
        <v>7200</v>
      </c>
      <c r="F13" s="6">
        <f>E13*0.1</f>
        <v>720</v>
      </c>
      <c r="G13" s="6">
        <f>SUM(E13:F13)</f>
        <v>7920</v>
      </c>
    </row>
    <row r="14" spans="1:8" x14ac:dyDescent="0.3">
      <c r="A14" s="2">
        <v>44296</v>
      </c>
      <c r="B14" s="24" t="s">
        <v>44</v>
      </c>
      <c r="D14" s="52" t="s">
        <v>68</v>
      </c>
      <c r="E14" s="6">
        <f>20*'Chart of Accounts'!D58</f>
        <v>3000</v>
      </c>
      <c r="F14" s="6">
        <f>E14*0.1</f>
        <v>300</v>
      </c>
      <c r="G14" s="6">
        <f>E14+F14</f>
        <v>3300</v>
      </c>
    </row>
    <row r="15" spans="1:8" x14ac:dyDescent="0.3">
      <c r="A15" s="2"/>
      <c r="B15" s="24"/>
    </row>
    <row r="16" spans="1:8" x14ac:dyDescent="0.3">
      <c r="A16" s="2"/>
    </row>
    <row r="17" spans="1:9" ht="14" thickBot="1" x14ac:dyDescent="0.35">
      <c r="A17" s="2"/>
      <c r="E17" s="15">
        <f>SUM(E13:E14)</f>
        <v>10200</v>
      </c>
      <c r="F17" s="15">
        <f t="shared" ref="F17:G17" si="1">SUM(F13:F14)</f>
        <v>1020</v>
      </c>
      <c r="G17" s="15">
        <f t="shared" si="1"/>
        <v>11220</v>
      </c>
    </row>
    <row r="18" spans="1:9" ht="14" thickTop="1" x14ac:dyDescent="0.3">
      <c r="A18" s="2" t="s">
        <v>71</v>
      </c>
      <c r="E18" s="6">
        <v>112</v>
      </c>
      <c r="F18" s="6">
        <v>200</v>
      </c>
      <c r="G18" s="6">
        <v>201</v>
      </c>
    </row>
    <row r="19" spans="1:9" x14ac:dyDescent="0.3">
      <c r="A19" s="2"/>
      <c r="E19" s="29"/>
      <c r="F19" s="16" t="s">
        <v>73</v>
      </c>
      <c r="G19" s="29">
        <f>SUM(G17)-SUM(E17:F17)</f>
        <v>0</v>
      </c>
    </row>
    <row r="20" spans="1:9" x14ac:dyDescent="0.3">
      <c r="A20" s="2"/>
      <c r="E20" s="29"/>
      <c r="F20" s="16"/>
      <c r="G20" s="29"/>
    </row>
    <row r="21" spans="1:9" ht="15" x14ac:dyDescent="0.3">
      <c r="A21" s="12" t="s">
        <v>79</v>
      </c>
      <c r="B21" s="12"/>
      <c r="C21" s="12" t="s">
        <v>80</v>
      </c>
      <c r="D21" s="12"/>
      <c r="E21" s="12"/>
      <c r="F21" s="12"/>
      <c r="G21" s="12"/>
      <c r="H21" s="12"/>
    </row>
    <row r="22" spans="1:9" ht="40.5" x14ac:dyDescent="0.3">
      <c r="A22" s="2" t="s">
        <v>59</v>
      </c>
      <c r="B22" t="s">
        <v>75</v>
      </c>
      <c r="C22" s="3" t="s">
        <v>62</v>
      </c>
      <c r="D22" s="41" t="s">
        <v>81</v>
      </c>
      <c r="E22" s="41" t="s">
        <v>82</v>
      </c>
      <c r="F22" s="41" t="s">
        <v>83</v>
      </c>
      <c r="G22" s="41" t="s">
        <v>84</v>
      </c>
      <c r="H22" s="41" t="s">
        <v>85</v>
      </c>
      <c r="I22" s="41" t="s">
        <v>86</v>
      </c>
    </row>
    <row r="23" spans="1:9" x14ac:dyDescent="0.3">
      <c r="A23" s="2">
        <v>44289</v>
      </c>
      <c r="C23" s="24" t="s">
        <v>87</v>
      </c>
      <c r="D23" s="6">
        <f>E23+H23</f>
        <v>1672</v>
      </c>
      <c r="E23" s="6">
        <f>4*'Chart of Accounts'!F57</f>
        <v>1520</v>
      </c>
      <c r="H23" s="6">
        <f>E23*0.1</f>
        <v>152</v>
      </c>
      <c r="I23" s="6">
        <f>4*'Chart of Accounts'!D57</f>
        <v>760</v>
      </c>
    </row>
    <row r="24" spans="1:9" x14ac:dyDescent="0.3">
      <c r="A24" s="2">
        <v>44307</v>
      </c>
      <c r="B24" s="24" t="s">
        <v>39</v>
      </c>
      <c r="C24" s="52" t="s">
        <v>68</v>
      </c>
      <c r="D24" s="6">
        <v>15200</v>
      </c>
      <c r="F24" s="6">
        <f>D24</f>
        <v>15200</v>
      </c>
    </row>
    <row r="25" spans="1:9" x14ac:dyDescent="0.3">
      <c r="A25" s="2">
        <v>44313</v>
      </c>
      <c r="B25" s="24" t="s">
        <v>40</v>
      </c>
      <c r="C25" s="52" t="s">
        <v>68</v>
      </c>
      <c r="D25" s="6">
        <v>6000</v>
      </c>
      <c r="F25" s="6">
        <f>D25</f>
        <v>6000</v>
      </c>
    </row>
    <row r="26" spans="1:9" x14ac:dyDescent="0.3">
      <c r="A26" s="2">
        <v>44313</v>
      </c>
      <c r="B26" s="24"/>
      <c r="C26" s="24" t="s">
        <v>88</v>
      </c>
      <c r="D26" s="6">
        <f>E26+H26</f>
        <v>2244</v>
      </c>
      <c r="E26" s="6">
        <f>6*'Chart of Accounts'!F56</f>
        <v>2040</v>
      </c>
      <c r="H26" s="6">
        <f>E26*0.1</f>
        <v>204</v>
      </c>
      <c r="I26" s="6">
        <f>6*'Chart of Accounts'!D56</f>
        <v>1020</v>
      </c>
    </row>
    <row r="27" spans="1:9" x14ac:dyDescent="0.3">
      <c r="A27" s="2">
        <v>44315</v>
      </c>
      <c r="B27" s="24" t="s">
        <v>41</v>
      </c>
      <c r="C27" s="52" t="s">
        <v>68</v>
      </c>
      <c r="D27" s="6">
        <v>22000</v>
      </c>
      <c r="F27" s="6">
        <f>D27</f>
        <v>22000</v>
      </c>
    </row>
    <row r="28" spans="1:9" x14ac:dyDescent="0.3">
      <c r="A28" s="2">
        <v>44315</v>
      </c>
      <c r="B28" t="s">
        <v>21</v>
      </c>
      <c r="C28">
        <v>301</v>
      </c>
      <c r="D28" s="6">
        <v>2500</v>
      </c>
      <c r="G28" s="6">
        <f>D28</f>
        <v>2500</v>
      </c>
    </row>
    <row r="29" spans="1:9" x14ac:dyDescent="0.3">
      <c r="A29" s="2"/>
      <c r="B29" s="24"/>
    </row>
    <row r="30" spans="1:9" ht="14" thickBot="1" x14ac:dyDescent="0.35">
      <c r="A30" s="2"/>
      <c r="D30" s="15">
        <f>SUM(D23:D28)</f>
        <v>49616</v>
      </c>
      <c r="E30" s="15">
        <f t="shared" ref="E30:I30" si="2">SUM(E23:E28)</f>
        <v>3560</v>
      </c>
      <c r="F30" s="15">
        <f t="shared" si="2"/>
        <v>43200</v>
      </c>
      <c r="G30" s="15">
        <f t="shared" si="2"/>
        <v>2500</v>
      </c>
      <c r="H30" s="15">
        <f t="shared" si="2"/>
        <v>356</v>
      </c>
      <c r="I30" s="15">
        <f t="shared" si="2"/>
        <v>1780</v>
      </c>
    </row>
    <row r="31" spans="1:9" ht="14" thickTop="1" x14ac:dyDescent="0.3">
      <c r="A31" s="2" t="s">
        <v>71</v>
      </c>
      <c r="D31" s="6">
        <v>101</v>
      </c>
      <c r="E31" s="6">
        <v>401</v>
      </c>
      <c r="F31" s="6">
        <v>110</v>
      </c>
      <c r="G31" s="32" t="s">
        <v>89</v>
      </c>
      <c r="H31" s="6">
        <v>200</v>
      </c>
      <c r="I31" s="32" t="s">
        <v>72</v>
      </c>
    </row>
    <row r="32" spans="1:9" x14ac:dyDescent="0.3">
      <c r="A32" s="2"/>
      <c r="D32" s="29"/>
      <c r="E32" s="29"/>
      <c r="F32" s="29"/>
      <c r="G32" s="16" t="s">
        <v>73</v>
      </c>
      <c r="H32" s="29">
        <f>SUM(D30)-SUM(E30:H30)</f>
        <v>0</v>
      </c>
      <c r="I32" s="29"/>
    </row>
    <row r="34" spans="1:9" ht="15" x14ac:dyDescent="0.3">
      <c r="A34" s="12" t="s">
        <v>90</v>
      </c>
      <c r="B34" s="12"/>
      <c r="C34" s="12" t="s">
        <v>91</v>
      </c>
      <c r="D34" s="12"/>
      <c r="E34" s="12"/>
      <c r="F34" s="12"/>
      <c r="G34" s="12"/>
      <c r="H34" s="12"/>
      <c r="I34" s="12"/>
    </row>
    <row r="35" spans="1:9" x14ac:dyDescent="0.3">
      <c r="A35" s="2"/>
    </row>
    <row r="36" spans="1:9" ht="40.5" x14ac:dyDescent="0.3">
      <c r="A36" s="2" t="s">
        <v>59</v>
      </c>
      <c r="B36" t="s">
        <v>60</v>
      </c>
      <c r="C36" t="s">
        <v>92</v>
      </c>
      <c r="D36" s="6" t="s">
        <v>62</v>
      </c>
      <c r="E36" s="16" t="s">
        <v>93</v>
      </c>
      <c r="F36" s="16" t="s">
        <v>94</v>
      </c>
      <c r="G36" s="16" t="s">
        <v>95</v>
      </c>
      <c r="H36" s="16" t="s">
        <v>96</v>
      </c>
      <c r="I36"/>
    </row>
    <row r="37" spans="1:9" x14ac:dyDescent="0.3">
      <c r="A37" s="50">
        <v>44286</v>
      </c>
      <c r="B37" s="24" t="s">
        <v>30</v>
      </c>
      <c r="C37">
        <v>46</v>
      </c>
      <c r="D37" s="6">
        <v>510</v>
      </c>
      <c r="F37" s="6">
        <f>H37-G37</f>
        <v>300</v>
      </c>
      <c r="G37" s="6">
        <f>H37/11</f>
        <v>30</v>
      </c>
      <c r="H37" s="6">
        <v>330</v>
      </c>
      <c r="I37"/>
    </row>
    <row r="38" spans="1:9" x14ac:dyDescent="0.3">
      <c r="A38" s="50">
        <v>44287</v>
      </c>
      <c r="B38" s="24" t="s">
        <v>12</v>
      </c>
      <c r="C38">
        <v>47</v>
      </c>
      <c r="D38" s="6">
        <v>118</v>
      </c>
      <c r="F38" s="6">
        <f>H38-G38</f>
        <v>700</v>
      </c>
      <c r="G38" s="6">
        <f>H38/11</f>
        <v>70</v>
      </c>
      <c r="H38" s="6">
        <v>770</v>
      </c>
    </row>
    <row r="39" spans="1:9" x14ac:dyDescent="0.3">
      <c r="A39" s="2">
        <v>44289</v>
      </c>
      <c r="B39" t="s">
        <v>9</v>
      </c>
      <c r="C39">
        <v>48</v>
      </c>
      <c r="D39" s="6">
        <v>115</v>
      </c>
      <c r="F39" s="6">
        <f>H39-G39</f>
        <v>1200</v>
      </c>
      <c r="G39" s="6">
        <f>H39/11</f>
        <v>120</v>
      </c>
      <c r="H39" s="6">
        <v>1320</v>
      </c>
    </row>
    <row r="40" spans="1:9" x14ac:dyDescent="0.3">
      <c r="A40" s="2">
        <v>44289</v>
      </c>
      <c r="B40" t="s">
        <v>22</v>
      </c>
      <c r="C40">
        <v>49</v>
      </c>
      <c r="D40" s="6">
        <v>302</v>
      </c>
      <c r="F40" s="6">
        <v>1000</v>
      </c>
      <c r="H40" s="6">
        <v>1000</v>
      </c>
    </row>
    <row r="41" spans="1:9" x14ac:dyDescent="0.3">
      <c r="A41" s="2">
        <v>44289</v>
      </c>
      <c r="B41" s="24" t="s">
        <v>36</v>
      </c>
      <c r="C41">
        <v>50</v>
      </c>
      <c r="D41" s="6">
        <v>585</v>
      </c>
      <c r="F41" s="6">
        <v>3400</v>
      </c>
      <c r="H41" s="6">
        <v>3400</v>
      </c>
    </row>
    <row r="42" spans="1:9" x14ac:dyDescent="0.3">
      <c r="A42" s="25">
        <v>44299</v>
      </c>
      <c r="B42" t="s">
        <v>43</v>
      </c>
      <c r="C42">
        <v>51</v>
      </c>
      <c r="D42" s="52" t="s">
        <v>68</v>
      </c>
      <c r="E42" s="6">
        <v>3850</v>
      </c>
      <c r="H42" s="6">
        <v>3850</v>
      </c>
    </row>
    <row r="43" spans="1:9" x14ac:dyDescent="0.3">
      <c r="A43" s="2">
        <v>44306</v>
      </c>
      <c r="B43" s="24" t="s">
        <v>44</v>
      </c>
      <c r="C43">
        <v>52</v>
      </c>
      <c r="D43" s="52" t="s">
        <v>68</v>
      </c>
      <c r="E43" s="6">
        <v>15400</v>
      </c>
      <c r="H43" s="6">
        <v>15400</v>
      </c>
    </row>
    <row r="44" spans="1:9" x14ac:dyDescent="0.3">
      <c r="A44" s="2">
        <v>44311</v>
      </c>
      <c r="B44" t="s">
        <v>34</v>
      </c>
      <c r="C44">
        <v>53</v>
      </c>
      <c r="D44" s="6">
        <v>580</v>
      </c>
      <c r="F44" s="6">
        <f>H44-G44</f>
        <v>250</v>
      </c>
      <c r="G44" s="6">
        <f>H44/11</f>
        <v>25</v>
      </c>
      <c r="H44" s="6">
        <v>275</v>
      </c>
    </row>
    <row r="45" spans="1:9" x14ac:dyDescent="0.3">
      <c r="A45" s="2">
        <v>44315</v>
      </c>
      <c r="B45" s="24" t="s">
        <v>17</v>
      </c>
      <c r="C45">
        <v>54</v>
      </c>
      <c r="D45" s="6">
        <v>200</v>
      </c>
      <c r="F45" s="6">
        <v>12450</v>
      </c>
      <c r="H45" s="6">
        <v>12450</v>
      </c>
    </row>
    <row r="46" spans="1:9" x14ac:dyDescent="0.3">
      <c r="A46" s="2">
        <v>44315</v>
      </c>
      <c r="B46" t="s">
        <v>20</v>
      </c>
      <c r="C46">
        <v>54</v>
      </c>
      <c r="D46" s="6">
        <v>203</v>
      </c>
      <c r="F46" s="6">
        <v>5180</v>
      </c>
      <c r="H46" s="6">
        <v>5180</v>
      </c>
    </row>
    <row r="47" spans="1:9" x14ac:dyDescent="0.3">
      <c r="A47" s="2">
        <v>44315</v>
      </c>
      <c r="B47" t="s">
        <v>35</v>
      </c>
      <c r="C47">
        <v>55</v>
      </c>
      <c r="D47" s="6">
        <v>582</v>
      </c>
      <c r="F47" s="6">
        <f>H47-G47</f>
        <v>260</v>
      </c>
      <c r="G47" s="6">
        <f>H47/11</f>
        <v>26</v>
      </c>
      <c r="H47" s="6">
        <v>286</v>
      </c>
    </row>
    <row r="48" spans="1:9" x14ac:dyDescent="0.3">
      <c r="A48" s="2">
        <v>44315</v>
      </c>
      <c r="B48" s="24" t="s">
        <v>30</v>
      </c>
      <c r="C48">
        <v>56</v>
      </c>
      <c r="D48" s="6">
        <v>510</v>
      </c>
      <c r="F48" s="6">
        <f>H48-G48</f>
        <v>130</v>
      </c>
      <c r="G48" s="6">
        <f>H48/11</f>
        <v>13</v>
      </c>
      <c r="H48" s="6">
        <v>143</v>
      </c>
    </row>
    <row r="49" spans="1:9" x14ac:dyDescent="0.3">
      <c r="A49" s="2">
        <v>44315</v>
      </c>
      <c r="B49" t="s">
        <v>27</v>
      </c>
      <c r="F49" s="6">
        <v>25</v>
      </c>
      <c r="H49" s="6">
        <v>25</v>
      </c>
    </row>
    <row r="50" spans="1:9" x14ac:dyDescent="0.3">
      <c r="A50" s="2"/>
    </row>
    <row r="51" spans="1:9" ht="14" thickBot="1" x14ac:dyDescent="0.35">
      <c r="A51" s="2"/>
      <c r="D51"/>
      <c r="E51" s="15">
        <f>SUM(E37:E49)</f>
        <v>19250</v>
      </c>
      <c r="F51" s="15">
        <f t="shared" ref="F51:H51" si="3">SUM(F37:F49)</f>
        <v>24895</v>
      </c>
      <c r="G51" s="15">
        <f t="shared" si="3"/>
        <v>284</v>
      </c>
      <c r="H51" s="15">
        <f t="shared" si="3"/>
        <v>44429</v>
      </c>
      <c r="I51"/>
    </row>
    <row r="52" spans="1:9" ht="14" thickTop="1" x14ac:dyDescent="0.3">
      <c r="A52" s="2" t="s">
        <v>71</v>
      </c>
      <c r="E52" s="6">
        <v>201</v>
      </c>
      <c r="F52" s="32" t="s">
        <v>89</v>
      </c>
      <c r="G52" s="6">
        <v>200</v>
      </c>
      <c r="H52" s="6">
        <v>101</v>
      </c>
      <c r="I52"/>
    </row>
    <row r="53" spans="1:9" x14ac:dyDescent="0.3">
      <c r="E53" s="29"/>
      <c r="F53" s="29"/>
      <c r="G53" s="16" t="s">
        <v>73</v>
      </c>
      <c r="H53" s="29">
        <f>SUM(H51)-SUM(E51:G51)</f>
        <v>0</v>
      </c>
      <c r="I53" s="29"/>
    </row>
    <row r="54" spans="1:9" ht="15" x14ac:dyDescent="0.3">
      <c r="A54" s="12" t="s">
        <v>97</v>
      </c>
      <c r="B54" s="12"/>
      <c r="C54" s="12" t="s">
        <v>98</v>
      </c>
      <c r="D54" s="12"/>
      <c r="E54" s="12"/>
    </row>
    <row r="55" spans="1:9" x14ac:dyDescent="0.3">
      <c r="A55" s="2"/>
    </row>
    <row r="56" spans="1:9" x14ac:dyDescent="0.3">
      <c r="A56" s="2"/>
    </row>
    <row r="57" spans="1:9" x14ac:dyDescent="0.3">
      <c r="A57" s="2" t="s">
        <v>59</v>
      </c>
      <c r="B57" t="s">
        <v>99</v>
      </c>
      <c r="C57" t="s">
        <v>62</v>
      </c>
      <c r="D57" s="6" t="s">
        <v>100</v>
      </c>
      <c r="E57" s="6" t="s">
        <v>101</v>
      </c>
    </row>
    <row r="58" spans="1:9" x14ac:dyDescent="0.3">
      <c r="A58" s="2">
        <v>44286</v>
      </c>
      <c r="B58" t="s">
        <v>15</v>
      </c>
      <c r="C58">
        <v>135</v>
      </c>
      <c r="D58" s="6">
        <f>E60-D59</f>
        <v>1220</v>
      </c>
    </row>
    <row r="59" spans="1:9" x14ac:dyDescent="0.3">
      <c r="A59" s="2"/>
      <c r="B59" s="24" t="s">
        <v>17</v>
      </c>
      <c r="C59" s="35">
        <v>200</v>
      </c>
      <c r="D59" s="6">
        <f>E60/11</f>
        <v>122</v>
      </c>
      <c r="F59" s="28"/>
    </row>
    <row r="60" spans="1:9" x14ac:dyDescent="0.3">
      <c r="A60" s="2"/>
      <c r="B60" s="24" t="s">
        <v>102</v>
      </c>
      <c r="C60" s="51" t="s">
        <v>103</v>
      </c>
      <c r="E60" s="6">
        <v>1342</v>
      </c>
      <c r="F60" s="28"/>
    </row>
    <row r="61" spans="1:9" x14ac:dyDescent="0.3">
      <c r="A61" s="2"/>
      <c r="C61" s="35"/>
      <c r="F61" s="28"/>
    </row>
    <row r="62" spans="1:9" x14ac:dyDescent="0.3">
      <c r="A62" s="2">
        <v>44306</v>
      </c>
      <c r="B62" s="24" t="s">
        <v>25</v>
      </c>
      <c r="C62" s="35">
        <v>402</v>
      </c>
      <c r="D62" s="6">
        <f>2*'Chart of Accounts'!F58</f>
        <v>600</v>
      </c>
      <c r="F62" s="28"/>
    </row>
    <row r="63" spans="1:9" x14ac:dyDescent="0.3">
      <c r="A63" s="2"/>
      <c r="B63" s="24" t="s">
        <v>17</v>
      </c>
      <c r="C63" s="35">
        <v>200</v>
      </c>
      <c r="D63" s="6">
        <f>D62*0.1</f>
        <v>60</v>
      </c>
      <c r="F63" s="28"/>
    </row>
    <row r="64" spans="1:9" x14ac:dyDescent="0.3">
      <c r="A64" s="2"/>
      <c r="B64" s="24" t="s">
        <v>104</v>
      </c>
      <c r="C64" s="51" t="s">
        <v>105</v>
      </c>
      <c r="E64" s="6">
        <f>D62+D63</f>
        <v>660</v>
      </c>
      <c r="F64" s="28"/>
    </row>
    <row r="65" spans="1:6" x14ac:dyDescent="0.3">
      <c r="A65" s="2"/>
      <c r="C65" s="35"/>
      <c r="F65" s="28"/>
    </row>
    <row r="66" spans="1:6" x14ac:dyDescent="0.3">
      <c r="A66" s="2">
        <v>44306</v>
      </c>
      <c r="B66" s="24" t="s">
        <v>8</v>
      </c>
      <c r="C66" s="35">
        <v>112</v>
      </c>
      <c r="D66" s="6">
        <f>2*'Chart of Accounts'!D58</f>
        <v>300</v>
      </c>
      <c r="F66" s="28"/>
    </row>
    <row r="67" spans="1:6" x14ac:dyDescent="0.3">
      <c r="A67" s="2"/>
      <c r="B67" s="24" t="s">
        <v>26</v>
      </c>
      <c r="C67" s="35"/>
      <c r="E67" s="6">
        <f>D66</f>
        <v>300</v>
      </c>
      <c r="F67" s="28"/>
    </row>
    <row r="68" spans="1:6" x14ac:dyDescent="0.3">
      <c r="A68" s="2"/>
      <c r="C68" s="35"/>
      <c r="F68" s="28"/>
    </row>
    <row r="69" spans="1:6" x14ac:dyDescent="0.3">
      <c r="A69" s="2">
        <v>44313</v>
      </c>
      <c r="B69" s="24" t="s">
        <v>106</v>
      </c>
      <c r="C69" s="51" t="s">
        <v>103</v>
      </c>
      <c r="D69" s="6">
        <f>E70+E71</f>
        <v>396</v>
      </c>
      <c r="F69" s="28"/>
    </row>
    <row r="70" spans="1:6" x14ac:dyDescent="0.3">
      <c r="A70" s="2"/>
      <c r="B70" s="24" t="s">
        <v>17</v>
      </c>
      <c r="C70" s="35">
        <v>200</v>
      </c>
      <c r="E70" s="6">
        <f>E71*0.1</f>
        <v>36</v>
      </c>
      <c r="F70" s="28"/>
    </row>
    <row r="71" spans="1:6" x14ac:dyDescent="0.3">
      <c r="A71" s="2"/>
      <c r="B71" s="24" t="s">
        <v>8</v>
      </c>
      <c r="C71" s="35">
        <v>112</v>
      </c>
      <c r="E71" s="6">
        <f>2*'Chart of Accounts'!D55</f>
        <v>360</v>
      </c>
      <c r="F71" s="28"/>
    </row>
    <row r="72" spans="1:6" x14ac:dyDescent="0.3">
      <c r="A72" s="2"/>
      <c r="C72" s="35"/>
      <c r="F72" s="28"/>
    </row>
    <row r="73" spans="1:6" x14ac:dyDescent="0.3">
      <c r="A73" s="2">
        <v>44315</v>
      </c>
      <c r="B73" s="24" t="s">
        <v>36</v>
      </c>
      <c r="C73" s="35">
        <v>585</v>
      </c>
      <c r="D73" s="6">
        <v>1020</v>
      </c>
      <c r="F73" s="28"/>
    </row>
    <row r="74" spans="1:6" x14ac:dyDescent="0.3">
      <c r="A74" s="2"/>
      <c r="B74" t="s">
        <v>20</v>
      </c>
      <c r="C74" s="35"/>
      <c r="E74" s="6">
        <f>D73</f>
        <v>1020</v>
      </c>
      <c r="F74" s="28"/>
    </row>
    <row r="75" spans="1:6" x14ac:dyDescent="0.3">
      <c r="A75" s="2"/>
      <c r="C75" s="35"/>
      <c r="F75" s="28"/>
    </row>
    <row r="76" spans="1:6" x14ac:dyDescent="0.3">
      <c r="A76" s="2"/>
      <c r="C76" s="35"/>
      <c r="F76" s="28"/>
    </row>
    <row r="77" spans="1:6" x14ac:dyDescent="0.3">
      <c r="A77" s="2"/>
      <c r="F77" s="28"/>
    </row>
    <row r="78" spans="1:6" x14ac:dyDescent="0.3">
      <c r="A78" s="2"/>
    </row>
    <row r="79" spans="1:6" ht="15" x14ac:dyDescent="0.3">
      <c r="A79" s="12" t="s">
        <v>107</v>
      </c>
      <c r="B79" s="12"/>
      <c r="C79" s="12" t="s">
        <v>108</v>
      </c>
      <c r="D79" s="12"/>
      <c r="E79" s="12"/>
    </row>
    <row r="80" spans="1:6" x14ac:dyDescent="0.3">
      <c r="A80" s="2"/>
      <c r="B80" s="1" t="s">
        <v>109</v>
      </c>
    </row>
    <row r="81" spans="1:6" x14ac:dyDescent="0.3">
      <c r="A81" s="2">
        <v>44315</v>
      </c>
      <c r="B81" s="24" t="s">
        <v>36</v>
      </c>
      <c r="C81">
        <v>585</v>
      </c>
      <c r="D81" s="6">
        <v>600</v>
      </c>
    </row>
    <row r="82" spans="1:6" x14ac:dyDescent="0.3">
      <c r="A82" s="2"/>
      <c r="B82" t="s">
        <v>19</v>
      </c>
      <c r="C82">
        <v>203</v>
      </c>
      <c r="E82" s="6">
        <f>D81</f>
        <v>600</v>
      </c>
      <c r="F82" s="28"/>
    </row>
    <row r="83" spans="1:6" x14ac:dyDescent="0.3">
      <c r="A83" s="2"/>
      <c r="F83" s="28"/>
    </row>
    <row r="84" spans="1:6" x14ac:dyDescent="0.3">
      <c r="A84" s="2">
        <v>44315</v>
      </c>
      <c r="B84" t="s">
        <v>31</v>
      </c>
      <c r="C84">
        <v>520</v>
      </c>
      <c r="D84" s="6">
        <v>100</v>
      </c>
      <c r="F84" s="28"/>
    </row>
    <row r="85" spans="1:6" x14ac:dyDescent="0.3">
      <c r="A85" s="2"/>
      <c r="B85" t="s">
        <v>9</v>
      </c>
      <c r="C85">
        <v>115</v>
      </c>
      <c r="E85" s="6">
        <v>100</v>
      </c>
      <c r="F85" s="28"/>
    </row>
    <row r="86" spans="1:6" x14ac:dyDescent="0.3">
      <c r="A86" s="2"/>
      <c r="F86" s="28"/>
    </row>
    <row r="87" spans="1:6" x14ac:dyDescent="0.3">
      <c r="A87" s="2">
        <v>44315</v>
      </c>
      <c r="B87" t="s">
        <v>29</v>
      </c>
      <c r="C87">
        <v>506</v>
      </c>
      <c r="D87" s="6">
        <v>468</v>
      </c>
      <c r="F87" s="28"/>
    </row>
    <row r="88" spans="1:6" x14ac:dyDescent="0.3">
      <c r="A88" s="2"/>
      <c r="B88" s="24" t="s">
        <v>14</v>
      </c>
      <c r="C88">
        <v>131</v>
      </c>
      <c r="E88" s="6">
        <v>468</v>
      </c>
      <c r="F88" s="28"/>
    </row>
    <row r="89" spans="1:6" x14ac:dyDescent="0.3">
      <c r="A89" s="2"/>
      <c r="B89" s="24"/>
      <c r="F89" s="28"/>
    </row>
    <row r="90" spans="1:6" x14ac:dyDescent="0.3">
      <c r="A90" s="2">
        <v>44315</v>
      </c>
      <c r="B90" t="s">
        <v>28</v>
      </c>
      <c r="C90">
        <v>505</v>
      </c>
      <c r="D90" s="6">
        <v>570</v>
      </c>
      <c r="F90" s="28"/>
    </row>
    <row r="91" spans="1:6" x14ac:dyDescent="0.3">
      <c r="A91" s="2"/>
      <c r="B91" t="s">
        <v>16</v>
      </c>
      <c r="C91">
        <v>136</v>
      </c>
      <c r="E91" s="6">
        <f>D90</f>
        <v>570</v>
      </c>
      <c r="F91" s="28"/>
    </row>
    <row r="92" spans="1:6" x14ac:dyDescent="0.3">
      <c r="A92" s="2"/>
      <c r="F92" s="28"/>
    </row>
    <row r="93" spans="1:6" x14ac:dyDescent="0.3">
      <c r="A93" s="2">
        <v>44315</v>
      </c>
      <c r="B93" t="s">
        <v>32</v>
      </c>
      <c r="C93">
        <v>542</v>
      </c>
      <c r="D93" s="6">
        <v>1850</v>
      </c>
      <c r="F93" s="28"/>
    </row>
    <row r="94" spans="1:6" x14ac:dyDescent="0.3">
      <c r="A94" s="2"/>
      <c r="B94" s="24" t="s">
        <v>12</v>
      </c>
      <c r="C94">
        <v>118</v>
      </c>
      <c r="E94" s="6">
        <f>D93</f>
        <v>1850</v>
      </c>
      <c r="F94" s="28"/>
    </row>
    <row r="95" spans="1:6" x14ac:dyDescent="0.3">
      <c r="A95" s="2"/>
      <c r="B95" s="24"/>
      <c r="F95" s="28"/>
    </row>
    <row r="96" spans="1:6" x14ac:dyDescent="0.3">
      <c r="A96" s="2">
        <v>44315</v>
      </c>
      <c r="B96" s="24" t="s">
        <v>33</v>
      </c>
      <c r="C96">
        <v>560</v>
      </c>
      <c r="D96" s="6">
        <v>5000</v>
      </c>
      <c r="F96" s="28"/>
    </row>
    <row r="97" spans="1:6" x14ac:dyDescent="0.3">
      <c r="A97" s="2"/>
      <c r="B97" t="s">
        <v>11</v>
      </c>
      <c r="C97">
        <v>116</v>
      </c>
      <c r="E97" s="6">
        <f>D96</f>
        <v>5000</v>
      </c>
      <c r="F97" s="28"/>
    </row>
    <row r="98" spans="1:6" x14ac:dyDescent="0.3">
      <c r="A98" s="2"/>
      <c r="B98" s="24"/>
      <c r="F98" s="28"/>
    </row>
    <row r="99" spans="1:6" x14ac:dyDescent="0.3">
      <c r="A99" s="2"/>
      <c r="F99" s="28"/>
    </row>
    <row r="100" spans="1:6" x14ac:dyDescent="0.3">
      <c r="A100" s="25"/>
      <c r="B100" s="24"/>
      <c r="C100" s="4"/>
      <c r="F100" s="28"/>
    </row>
    <row r="101" spans="1:6" x14ac:dyDescent="0.3">
      <c r="A101" s="2"/>
      <c r="B101" s="24"/>
      <c r="C101" s="4"/>
      <c r="F101" s="28"/>
    </row>
    <row r="102" spans="1:6" x14ac:dyDescent="0.3">
      <c r="A102" s="2"/>
      <c r="B102" s="38"/>
      <c r="F102" s="28"/>
    </row>
    <row r="103" spans="1:6" x14ac:dyDescent="0.3">
      <c r="A103" s="2"/>
      <c r="F103" s="28"/>
    </row>
    <row r="104" spans="1:6" x14ac:dyDescent="0.3">
      <c r="A104" s="2"/>
      <c r="F104" s="28"/>
    </row>
    <row r="105" spans="1:6" x14ac:dyDescent="0.3">
      <c r="A105" s="2"/>
      <c r="F105" s="28"/>
    </row>
    <row r="106" spans="1:6" x14ac:dyDescent="0.3">
      <c r="A106" s="2"/>
      <c r="F106" s="28"/>
    </row>
    <row r="107" spans="1:6" ht="15" x14ac:dyDescent="0.3">
      <c r="A107" s="12" t="s">
        <v>110</v>
      </c>
      <c r="B107" s="12"/>
      <c r="C107" s="12" t="s">
        <v>111</v>
      </c>
      <c r="D107" s="12"/>
      <c r="E107" s="12"/>
      <c r="F107" s="28"/>
    </row>
    <row r="108" spans="1:6" x14ac:dyDescent="0.3">
      <c r="A108" s="2"/>
      <c r="B108" s="1" t="s">
        <v>112</v>
      </c>
      <c r="F108" s="28"/>
    </row>
    <row r="109" spans="1:6" x14ac:dyDescent="0.3">
      <c r="A109" s="2">
        <v>44315</v>
      </c>
      <c r="B109" s="24" t="s">
        <v>24</v>
      </c>
      <c r="C109">
        <v>401</v>
      </c>
      <c r="D109" s="6">
        <v>38600</v>
      </c>
      <c r="F109" s="28"/>
    </row>
    <row r="110" spans="1:6" x14ac:dyDescent="0.3">
      <c r="A110" s="2"/>
      <c r="B110" s="24" t="s">
        <v>23</v>
      </c>
      <c r="C110">
        <v>307</v>
      </c>
      <c r="E110" s="6">
        <v>38600</v>
      </c>
      <c r="F110" s="28"/>
    </row>
    <row r="111" spans="1:6" x14ac:dyDescent="0.3">
      <c r="A111" s="2"/>
      <c r="B111" s="24"/>
      <c r="F111" s="28"/>
    </row>
    <row r="112" spans="1:6" x14ac:dyDescent="0.3">
      <c r="A112" s="2">
        <v>44315</v>
      </c>
      <c r="B112" s="24" t="s">
        <v>23</v>
      </c>
      <c r="C112">
        <v>307</v>
      </c>
      <c r="D112" s="6">
        <v>600</v>
      </c>
      <c r="F112" s="28"/>
    </row>
    <row r="113" spans="1:6" x14ac:dyDescent="0.3">
      <c r="A113" s="2"/>
      <c r="B113" s="24" t="s">
        <v>25</v>
      </c>
      <c r="C113">
        <v>402</v>
      </c>
      <c r="E113" s="6">
        <v>600</v>
      </c>
      <c r="F113" s="28"/>
    </row>
    <row r="114" spans="1:6" x14ac:dyDescent="0.3">
      <c r="A114" s="2"/>
      <c r="F114" s="28"/>
    </row>
    <row r="115" spans="1:6" x14ac:dyDescent="0.3">
      <c r="A115" s="2">
        <v>44315</v>
      </c>
      <c r="B115" s="24" t="s">
        <v>23</v>
      </c>
      <c r="C115">
        <v>307</v>
      </c>
      <c r="D115" s="6">
        <f>SUM(E116:E126)</f>
        <v>32973</v>
      </c>
      <c r="F115" s="28"/>
    </row>
    <row r="116" spans="1:6" x14ac:dyDescent="0.3">
      <c r="A116" s="2"/>
      <c r="B116" s="24" t="s">
        <v>26</v>
      </c>
      <c r="C116">
        <v>501</v>
      </c>
      <c r="E116" s="6">
        <v>19000</v>
      </c>
      <c r="F116" s="28"/>
    </row>
    <row r="117" spans="1:6" x14ac:dyDescent="0.3">
      <c r="A117" s="2"/>
      <c r="B117" s="24" t="s">
        <v>27</v>
      </c>
      <c r="C117">
        <v>503</v>
      </c>
      <c r="E117" s="6">
        <v>25</v>
      </c>
      <c r="F117" s="28"/>
    </row>
    <row r="118" spans="1:6" x14ac:dyDescent="0.3">
      <c r="A118" s="2"/>
      <c r="B118" s="24" t="s">
        <v>113</v>
      </c>
      <c r="C118">
        <v>505</v>
      </c>
      <c r="E118" s="6">
        <v>570</v>
      </c>
      <c r="F118" s="28"/>
    </row>
    <row r="119" spans="1:6" x14ac:dyDescent="0.3">
      <c r="B119" s="24" t="s">
        <v>114</v>
      </c>
      <c r="C119">
        <v>506</v>
      </c>
      <c r="E119" s="6">
        <v>468</v>
      </c>
      <c r="F119" s="28"/>
    </row>
    <row r="120" spans="1:6" x14ac:dyDescent="0.3">
      <c r="B120" s="24" t="s">
        <v>30</v>
      </c>
      <c r="C120">
        <v>510</v>
      </c>
      <c r="E120" s="6">
        <v>430</v>
      </c>
      <c r="F120" s="28"/>
    </row>
    <row r="121" spans="1:6" x14ac:dyDescent="0.3">
      <c r="B121" s="24" t="s">
        <v>31</v>
      </c>
      <c r="C121">
        <v>520</v>
      </c>
      <c r="E121" s="6">
        <v>100</v>
      </c>
      <c r="F121" s="28"/>
    </row>
    <row r="122" spans="1:6" x14ac:dyDescent="0.3">
      <c r="B122" s="24" t="s">
        <v>32</v>
      </c>
      <c r="C122">
        <v>542</v>
      </c>
      <c r="E122" s="6">
        <v>1850</v>
      </c>
      <c r="F122" s="28"/>
    </row>
    <row r="123" spans="1:6" x14ac:dyDescent="0.3">
      <c r="B123" s="24" t="s">
        <v>33</v>
      </c>
      <c r="C123">
        <v>560</v>
      </c>
      <c r="E123" s="6">
        <v>5000</v>
      </c>
      <c r="F123" s="28"/>
    </row>
    <row r="124" spans="1:6" x14ac:dyDescent="0.3">
      <c r="A124" s="2"/>
      <c r="B124" s="24" t="s">
        <v>34</v>
      </c>
      <c r="C124">
        <v>580</v>
      </c>
      <c r="E124" s="6">
        <v>250</v>
      </c>
      <c r="F124" s="28"/>
    </row>
    <row r="125" spans="1:6" x14ac:dyDescent="0.3">
      <c r="A125" s="2"/>
      <c r="B125" s="24" t="s">
        <v>35</v>
      </c>
      <c r="C125">
        <v>582</v>
      </c>
      <c r="E125" s="6">
        <v>260</v>
      </c>
      <c r="F125" s="28"/>
    </row>
    <row r="126" spans="1:6" x14ac:dyDescent="0.3">
      <c r="A126" s="2"/>
      <c r="B126" s="24" t="s">
        <v>36</v>
      </c>
      <c r="C126">
        <v>585</v>
      </c>
      <c r="E126" s="6">
        <v>5020</v>
      </c>
      <c r="F126" s="28"/>
    </row>
    <row r="127" spans="1:6" x14ac:dyDescent="0.3">
      <c r="A127" s="2"/>
      <c r="B127" s="24"/>
      <c r="F127" s="28"/>
    </row>
    <row r="128" spans="1:6" x14ac:dyDescent="0.3">
      <c r="A128" s="2">
        <v>44315</v>
      </c>
      <c r="B128" s="24" t="s">
        <v>23</v>
      </c>
      <c r="C128">
        <v>307</v>
      </c>
      <c r="D128" s="6">
        <v>5027</v>
      </c>
      <c r="F128" s="28"/>
    </row>
    <row r="129" spans="1:6" x14ac:dyDescent="0.3">
      <c r="A129" s="2"/>
      <c r="B129" t="s">
        <v>21</v>
      </c>
      <c r="C129">
        <v>301</v>
      </c>
      <c r="E129" s="6">
        <v>5027</v>
      </c>
      <c r="F129" s="28"/>
    </row>
    <row r="130" spans="1:6" x14ac:dyDescent="0.3">
      <c r="A130" s="2"/>
      <c r="F130" s="28"/>
    </row>
    <row r="131" spans="1:6" x14ac:dyDescent="0.3">
      <c r="A131" s="2">
        <v>44315</v>
      </c>
      <c r="B131" t="s">
        <v>21</v>
      </c>
      <c r="C131">
        <v>301</v>
      </c>
      <c r="D131" s="6">
        <v>1000</v>
      </c>
      <c r="F131" s="28"/>
    </row>
    <row r="132" spans="1:6" x14ac:dyDescent="0.3">
      <c r="A132" s="2"/>
      <c r="B132" t="s">
        <v>22</v>
      </c>
      <c r="C132">
        <v>302</v>
      </c>
      <c r="E132" s="6">
        <v>1000</v>
      </c>
      <c r="F132" s="28"/>
    </row>
    <row r="133" spans="1:6" x14ac:dyDescent="0.3">
      <c r="F133" s="28"/>
    </row>
  </sheetData>
  <phoneticPr fontId="3"/>
  <printOptions gridLines="1"/>
  <pageMargins left="0.35433070866141736" right="0.35433070866141736" top="0.78740157480314965" bottom="0.59055118110236227" header="0.51181102362204722" footer="0.51181102362204722"/>
  <pageSetup paperSize="9" scale="90" fitToHeight="4" orientation="landscape" horizontalDpi="4294967292" verticalDpi="4294967292" r:id="rId1"/>
  <headerFooter alignWithMargins="0">
    <oddHeader>&amp;C&amp;"Verdana,Bold"&amp;16Strum and Co.  EXCEL TEMPLATE</oddHeader>
    <oddFooter>&amp;L &amp;CStrum and Co. Practice Set&amp;RPage &amp;P of &amp;N</oddFooter>
  </headerFooter>
  <rowBreaks count="4" manualBreakCount="4">
    <brk id="32" max="16383" man="1"/>
    <brk id="53" max="16383" man="1"/>
    <brk id="78" max="16383" man="1"/>
    <brk id="10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8"/>
  <sheetViews>
    <sheetView view="pageLayout" topLeftCell="A17" zoomScale="85" zoomScaleNormal="100" zoomScalePageLayoutView="85" workbookViewId="0">
      <selection activeCell="E26" sqref="E26"/>
    </sheetView>
  </sheetViews>
  <sheetFormatPr defaultColWidth="11" defaultRowHeight="13.5" x14ac:dyDescent="0.3"/>
  <cols>
    <col min="1" max="1" width="9.84375" style="2" customWidth="1"/>
    <col min="2" max="2" width="40.15234375" customWidth="1"/>
    <col min="3" max="3" width="11" customWidth="1"/>
    <col min="4" max="7" width="10" style="4" customWidth="1"/>
  </cols>
  <sheetData>
    <row r="1" spans="1:7" ht="17.5" x14ac:dyDescent="0.35">
      <c r="A1" s="21" t="s">
        <v>115</v>
      </c>
      <c r="B1" s="12"/>
      <c r="C1" s="12"/>
      <c r="D1" s="19"/>
      <c r="E1" s="19"/>
      <c r="F1" s="19"/>
      <c r="G1" s="19"/>
    </row>
    <row r="3" spans="1:7" ht="15" x14ac:dyDescent="0.3">
      <c r="A3" s="2" t="s">
        <v>116</v>
      </c>
      <c r="B3" s="11" t="str">
        <f>+'Chart of Accounts'!B38</f>
        <v>Creative Industries</v>
      </c>
    </row>
    <row r="4" spans="1:7" x14ac:dyDescent="0.3">
      <c r="C4" t="s">
        <v>117</v>
      </c>
      <c r="D4" s="4" t="s">
        <v>118</v>
      </c>
      <c r="E4" s="4" t="s">
        <v>101</v>
      </c>
      <c r="F4" s="4" t="s">
        <v>3</v>
      </c>
    </row>
    <row r="5" spans="1:7" x14ac:dyDescent="0.3">
      <c r="A5" s="2" t="s">
        <v>59</v>
      </c>
      <c r="F5" s="4" t="s">
        <v>100</v>
      </c>
      <c r="G5" s="4" t="s">
        <v>101</v>
      </c>
    </row>
    <row r="6" spans="1:7" x14ac:dyDescent="0.3">
      <c r="A6" s="2">
        <v>43555</v>
      </c>
      <c r="B6" t="s">
        <v>119</v>
      </c>
      <c r="F6" s="4">
        <f>+'Chart of Accounts'!C38</f>
        <v>23120</v>
      </c>
    </row>
    <row r="7" spans="1:7" x14ac:dyDescent="0.3">
      <c r="A7" s="2">
        <v>44287</v>
      </c>
      <c r="C7" s="24" t="s">
        <v>120</v>
      </c>
      <c r="D7" s="4">
        <f>Journals!E3</f>
        <v>11880</v>
      </c>
      <c r="F7" s="4">
        <f>IF(A7="","",F6+D7-E7)</f>
        <v>35000</v>
      </c>
    </row>
    <row r="8" spans="1:7" x14ac:dyDescent="0.3">
      <c r="A8" s="2">
        <v>44307</v>
      </c>
      <c r="C8" s="24" t="s">
        <v>121</v>
      </c>
      <c r="E8" s="4">
        <f>Journals!F24</f>
        <v>15200</v>
      </c>
      <c r="F8" s="4">
        <f>IF(A8="","",F7+D8-E8)</f>
        <v>19800</v>
      </c>
    </row>
    <row r="10" spans="1:7" ht="15" x14ac:dyDescent="0.3">
      <c r="A10" s="2" t="s">
        <v>116</v>
      </c>
      <c r="B10" s="11" t="str">
        <f>+'Chart of Accounts'!B39</f>
        <v>Kelvin Grove High School</v>
      </c>
    </row>
    <row r="11" spans="1:7" x14ac:dyDescent="0.3">
      <c r="C11" t="s">
        <v>117</v>
      </c>
      <c r="D11" s="4" t="s">
        <v>118</v>
      </c>
      <c r="E11" s="4" t="s">
        <v>101</v>
      </c>
      <c r="F11" s="4" t="s">
        <v>3</v>
      </c>
    </row>
    <row r="12" spans="1:7" x14ac:dyDescent="0.3">
      <c r="A12" s="2" t="s">
        <v>59</v>
      </c>
      <c r="F12" s="4" t="s">
        <v>100</v>
      </c>
      <c r="G12" s="4" t="s">
        <v>101</v>
      </c>
    </row>
    <row r="13" spans="1:7" x14ac:dyDescent="0.3">
      <c r="A13" s="2">
        <f>+A6</f>
        <v>43555</v>
      </c>
      <c r="B13" t="s">
        <v>119</v>
      </c>
      <c r="F13" s="4">
        <f>+'Chart of Accounts'!C39</f>
        <v>7448</v>
      </c>
    </row>
    <row r="14" spans="1:7" x14ac:dyDescent="0.3">
      <c r="A14" s="2">
        <v>44295</v>
      </c>
      <c r="C14" s="24" t="s">
        <v>120</v>
      </c>
      <c r="D14" s="4">
        <f>Journals!E4</f>
        <v>12144</v>
      </c>
      <c r="F14" s="4">
        <f>IF(A14="","",F13+D14-E14)</f>
        <v>19592</v>
      </c>
    </row>
    <row r="15" spans="1:7" x14ac:dyDescent="0.3">
      <c r="A15" s="2">
        <v>44306</v>
      </c>
      <c r="C15" s="24" t="s">
        <v>122</v>
      </c>
      <c r="E15" s="4">
        <f>Journals!E64</f>
        <v>660</v>
      </c>
      <c r="F15" s="4">
        <f>IF(A15="","",F14+D15-E15)</f>
        <v>18932</v>
      </c>
    </row>
    <row r="16" spans="1:7" x14ac:dyDescent="0.3">
      <c r="A16" s="2">
        <v>44313</v>
      </c>
      <c r="C16" s="24" t="s">
        <v>121</v>
      </c>
      <c r="E16" s="4">
        <f>Journals!F25</f>
        <v>6000</v>
      </c>
      <c r="F16" s="4">
        <f>IF(A16="","",F15+D16-E16)</f>
        <v>12932</v>
      </c>
    </row>
    <row r="18" spans="1:7" ht="15" x14ac:dyDescent="0.3">
      <c r="A18" s="2" t="s">
        <v>116</v>
      </c>
      <c r="B18" s="11" t="str">
        <f>+'Chart of Accounts'!B40</f>
        <v>The Gap High School</v>
      </c>
    </row>
    <row r="19" spans="1:7" x14ac:dyDescent="0.3">
      <c r="C19" t="s">
        <v>117</v>
      </c>
      <c r="D19" s="4" t="s">
        <v>118</v>
      </c>
      <c r="E19" s="4" t="s">
        <v>101</v>
      </c>
      <c r="F19" s="4" t="s">
        <v>3</v>
      </c>
    </row>
    <row r="20" spans="1:7" x14ac:dyDescent="0.3">
      <c r="A20" s="2" t="s">
        <v>59</v>
      </c>
      <c r="F20" s="4" t="s">
        <v>100</v>
      </c>
      <c r="G20" s="4" t="s">
        <v>101</v>
      </c>
    </row>
    <row r="21" spans="1:7" x14ac:dyDescent="0.3">
      <c r="A21" s="2">
        <f>+A6</f>
        <v>43555</v>
      </c>
      <c r="B21" t="s">
        <v>119</v>
      </c>
      <c r="F21" s="4">
        <f>+'Chart of Accounts'!C40</f>
        <v>25950</v>
      </c>
    </row>
    <row r="22" spans="1:7" x14ac:dyDescent="0.3">
      <c r="A22" s="2">
        <v>44311</v>
      </c>
      <c r="C22" s="24" t="s">
        <v>120</v>
      </c>
      <c r="D22" s="4">
        <f>Journals!E5</f>
        <v>14520</v>
      </c>
      <c r="F22" s="4">
        <f t="shared" ref="F22:F23" si="0">IF(A22="","",F21+D22-E22)</f>
        <v>40470</v>
      </c>
    </row>
    <row r="23" spans="1:7" x14ac:dyDescent="0.3">
      <c r="A23" s="2">
        <v>44315</v>
      </c>
      <c r="C23" s="24" t="s">
        <v>123</v>
      </c>
      <c r="E23" s="4">
        <f>Journals!F27</f>
        <v>22000</v>
      </c>
      <c r="F23" s="4">
        <f t="shared" si="0"/>
        <v>18470</v>
      </c>
    </row>
    <row r="25" spans="1:7" ht="17.5" x14ac:dyDescent="0.35">
      <c r="A25" s="21" t="s">
        <v>124</v>
      </c>
      <c r="B25" s="12"/>
      <c r="C25" s="12"/>
      <c r="D25" s="19"/>
      <c r="E25" s="19"/>
      <c r="F25" s="19"/>
      <c r="G25" s="19"/>
    </row>
    <row r="27" spans="1:7" x14ac:dyDescent="0.3">
      <c r="B27" s="2" t="str">
        <f>+B3</f>
        <v>Creative Industries</v>
      </c>
      <c r="F27" s="4">
        <f>+F8</f>
        <v>19800</v>
      </c>
    </row>
    <row r="28" spans="1:7" x14ac:dyDescent="0.3">
      <c r="B28" s="2" t="str">
        <f>+B10</f>
        <v>Kelvin Grove High School</v>
      </c>
      <c r="F28" s="4">
        <f>+F16</f>
        <v>12932</v>
      </c>
    </row>
    <row r="29" spans="1:7" x14ac:dyDescent="0.3">
      <c r="B29" s="2" t="str">
        <f>+B18</f>
        <v>The Gap High School</v>
      </c>
      <c r="F29" s="4">
        <f>+F23</f>
        <v>18470</v>
      </c>
    </row>
    <row r="30" spans="1:7" ht="14" thickBot="1" x14ac:dyDescent="0.35">
      <c r="F30" s="14">
        <f>SUM(F27:F29)</f>
        <v>51202</v>
      </c>
      <c r="G30" s="29"/>
    </row>
    <row r="31" spans="1:7" ht="14" thickTop="1" x14ac:dyDescent="0.3">
      <c r="A31" s="24" t="s">
        <v>125</v>
      </c>
      <c r="B31" s="24"/>
      <c r="F31" s="17" t="s">
        <v>126</v>
      </c>
      <c r="G31" s="6" t="s">
        <v>127</v>
      </c>
    </row>
    <row r="32" spans="1:7" x14ac:dyDescent="0.3">
      <c r="A32" s="24"/>
      <c r="B32" s="24"/>
      <c r="F32" s="17"/>
    </row>
    <row r="33" spans="1:7" ht="17.5" x14ac:dyDescent="0.35">
      <c r="A33" s="21" t="s">
        <v>128</v>
      </c>
      <c r="B33" s="26"/>
      <c r="C33" s="12"/>
      <c r="D33" s="19"/>
      <c r="E33" s="19"/>
      <c r="F33" s="19"/>
      <c r="G33" s="19"/>
    </row>
    <row r="34" spans="1:7" x14ac:dyDescent="0.3">
      <c r="B34" s="24"/>
    </row>
    <row r="35" spans="1:7" ht="15" x14ac:dyDescent="0.3">
      <c r="A35" s="2" t="s">
        <v>116</v>
      </c>
      <c r="B35" s="11" t="str">
        <f>+'Chart of Accounts'!B46</f>
        <v>Able Accountants</v>
      </c>
    </row>
    <row r="36" spans="1:7" x14ac:dyDescent="0.3">
      <c r="C36" t="s">
        <v>117</v>
      </c>
      <c r="D36" s="4" t="s">
        <v>118</v>
      </c>
      <c r="E36" s="4" t="s">
        <v>101</v>
      </c>
      <c r="F36" s="4" t="s">
        <v>3</v>
      </c>
    </row>
    <row r="37" spans="1:7" x14ac:dyDescent="0.3">
      <c r="A37" s="2" t="s">
        <v>59</v>
      </c>
      <c r="F37" s="4" t="s">
        <v>100</v>
      </c>
      <c r="G37" s="4" t="s">
        <v>101</v>
      </c>
    </row>
    <row r="38" spans="1:7" x14ac:dyDescent="0.3">
      <c r="A38" s="2">
        <f>+A6</f>
        <v>43555</v>
      </c>
      <c r="B38" t="s">
        <v>119</v>
      </c>
      <c r="G38" s="4">
        <f>+'Chart of Accounts'!D46</f>
        <v>3850</v>
      </c>
    </row>
    <row r="39" spans="1:7" x14ac:dyDescent="0.3">
      <c r="A39" s="2">
        <v>44299</v>
      </c>
      <c r="C39" s="24" t="s">
        <v>129</v>
      </c>
      <c r="D39" s="4">
        <f>Journals!E42</f>
        <v>3850</v>
      </c>
      <c r="G39" s="4">
        <f>IF(A39="","",G38+E39-D39)</f>
        <v>0</v>
      </c>
    </row>
    <row r="41" spans="1:7" ht="15" x14ac:dyDescent="0.3">
      <c r="A41" s="2" t="s">
        <v>116</v>
      </c>
      <c r="B41" s="11" t="str">
        <f>+'Chart of Accounts'!B47</f>
        <v>Fender Guitars</v>
      </c>
    </row>
    <row r="42" spans="1:7" x14ac:dyDescent="0.3">
      <c r="C42" t="s">
        <v>117</v>
      </c>
      <c r="D42" s="4" t="s">
        <v>118</v>
      </c>
      <c r="E42" s="4" t="s">
        <v>101</v>
      </c>
      <c r="F42" s="4" t="s">
        <v>3</v>
      </c>
    </row>
    <row r="43" spans="1:7" x14ac:dyDescent="0.3">
      <c r="A43" s="2" t="s">
        <v>59</v>
      </c>
      <c r="F43" s="4" t="s">
        <v>100</v>
      </c>
      <c r="G43" s="4" t="s">
        <v>101</v>
      </c>
    </row>
    <row r="44" spans="1:7" x14ac:dyDescent="0.3">
      <c r="A44" s="2">
        <f>+A6</f>
        <v>43555</v>
      </c>
      <c r="B44" t="s">
        <v>119</v>
      </c>
      <c r="G44" s="4">
        <f>+'Chart of Accounts'!D47</f>
        <v>16500</v>
      </c>
    </row>
    <row r="45" spans="1:7" x14ac:dyDescent="0.3">
      <c r="A45" s="25">
        <v>44296</v>
      </c>
      <c r="C45" s="24" t="s">
        <v>130</v>
      </c>
      <c r="E45" s="4">
        <f>Journals!G14</f>
        <v>3300</v>
      </c>
      <c r="G45" s="4">
        <f>IF(A45="","",G44+E45-D45)</f>
        <v>19800</v>
      </c>
    </row>
    <row r="46" spans="1:7" x14ac:dyDescent="0.3">
      <c r="A46" s="2">
        <v>44306</v>
      </c>
      <c r="C46" s="24" t="s">
        <v>129</v>
      </c>
      <c r="D46" s="4">
        <f>Journals!E43</f>
        <v>15400</v>
      </c>
      <c r="G46" s="4">
        <f>IF(A46="","",G45+E46-D46)</f>
        <v>4400</v>
      </c>
    </row>
    <row r="48" spans="1:7" ht="15" x14ac:dyDescent="0.3">
      <c r="A48" s="2" t="s">
        <v>116</v>
      </c>
      <c r="B48" s="11" t="str">
        <f>+'Chart of Accounts'!B48</f>
        <v>Insight Computers</v>
      </c>
    </row>
    <row r="49" spans="1:7" x14ac:dyDescent="0.3">
      <c r="C49" t="s">
        <v>117</v>
      </c>
      <c r="D49" s="4" t="s">
        <v>118</v>
      </c>
      <c r="E49" s="4" t="s">
        <v>101</v>
      </c>
      <c r="F49" s="4" t="s">
        <v>3</v>
      </c>
    </row>
    <row r="50" spans="1:7" x14ac:dyDescent="0.3">
      <c r="A50" s="2" t="s">
        <v>59</v>
      </c>
      <c r="F50" s="4" t="s">
        <v>100</v>
      </c>
      <c r="G50" s="4" t="s">
        <v>101</v>
      </c>
    </row>
    <row r="51" spans="1:7" x14ac:dyDescent="0.3">
      <c r="A51" s="2">
        <f>+A6</f>
        <v>43555</v>
      </c>
      <c r="B51" t="s">
        <v>119</v>
      </c>
      <c r="G51" s="4">
        <f>+'Chart of Accounts'!D48</f>
        <v>4520</v>
      </c>
    </row>
    <row r="52" spans="1:7" x14ac:dyDescent="0.3">
      <c r="A52" s="2">
        <v>44286</v>
      </c>
      <c r="C52" s="24" t="s">
        <v>122</v>
      </c>
      <c r="E52" s="4">
        <f>Journals!E60</f>
        <v>1342</v>
      </c>
      <c r="G52" s="4">
        <f>IF(A52="","",G51+E52-D52)</f>
        <v>5862</v>
      </c>
    </row>
    <row r="54" spans="1:7" ht="15" x14ac:dyDescent="0.3">
      <c r="A54" s="2" t="s">
        <v>116</v>
      </c>
      <c r="B54" s="11" t="str">
        <f>+'Chart of Accounts'!B49</f>
        <v>Yamaha</v>
      </c>
    </row>
    <row r="55" spans="1:7" x14ac:dyDescent="0.3">
      <c r="C55" t="s">
        <v>117</v>
      </c>
      <c r="D55" s="4" t="s">
        <v>118</v>
      </c>
      <c r="E55" s="4" t="s">
        <v>101</v>
      </c>
      <c r="F55" s="4" t="s">
        <v>3</v>
      </c>
    </row>
    <row r="56" spans="1:7" x14ac:dyDescent="0.3">
      <c r="A56" s="2" t="s">
        <v>59</v>
      </c>
      <c r="F56" s="4" t="s">
        <v>100</v>
      </c>
      <c r="G56" s="4" t="s">
        <v>101</v>
      </c>
    </row>
    <row r="57" spans="1:7" x14ac:dyDescent="0.3">
      <c r="A57" s="2">
        <f>+A6</f>
        <v>43555</v>
      </c>
      <c r="B57" t="s">
        <v>119</v>
      </c>
      <c r="G57" s="4">
        <f>+'Chart of Accounts'!D49</f>
        <v>4100</v>
      </c>
    </row>
    <row r="58" spans="1:7" x14ac:dyDescent="0.3">
      <c r="A58" s="2">
        <v>44288</v>
      </c>
      <c r="C58" s="24" t="s">
        <v>130</v>
      </c>
      <c r="E58" s="4">
        <f>Journals!G13</f>
        <v>7920</v>
      </c>
      <c r="G58" s="4">
        <f>IF(A58="","",G57+E58-D58)</f>
        <v>12020</v>
      </c>
    </row>
    <row r="59" spans="1:7" x14ac:dyDescent="0.3">
      <c r="A59" s="2">
        <v>44313</v>
      </c>
      <c r="C59" s="24" t="s">
        <v>122</v>
      </c>
      <c r="D59" s="4">
        <f>Journals!D69</f>
        <v>396</v>
      </c>
      <c r="G59" s="4">
        <f>IF(A59="","",G58+E59-D59)</f>
        <v>11624</v>
      </c>
    </row>
    <row r="60" spans="1:7" x14ac:dyDescent="0.3">
      <c r="C60" s="24"/>
    </row>
    <row r="61" spans="1:7" ht="17.5" x14ac:dyDescent="0.35">
      <c r="A61" s="21" t="s">
        <v>131</v>
      </c>
      <c r="B61" s="12"/>
      <c r="C61" s="12"/>
      <c r="D61" s="19"/>
      <c r="E61" s="19"/>
      <c r="F61" s="19"/>
      <c r="G61" s="19"/>
    </row>
    <row r="63" spans="1:7" x14ac:dyDescent="0.3">
      <c r="B63" s="2" t="str">
        <f>+B35</f>
        <v>Able Accountants</v>
      </c>
      <c r="G63" s="4">
        <f>+G39</f>
        <v>0</v>
      </c>
    </row>
    <row r="64" spans="1:7" x14ac:dyDescent="0.3">
      <c r="B64" s="2" t="str">
        <f>+B41</f>
        <v>Fender Guitars</v>
      </c>
      <c r="G64" s="4">
        <f>+G46</f>
        <v>4400</v>
      </c>
    </row>
    <row r="65" spans="1:8" x14ac:dyDescent="0.3">
      <c r="B65" s="2" t="str">
        <f>+B48</f>
        <v>Insight Computers</v>
      </c>
      <c r="G65" s="4">
        <f>+G52</f>
        <v>5862</v>
      </c>
    </row>
    <row r="66" spans="1:8" x14ac:dyDescent="0.3">
      <c r="B66" s="2" t="str">
        <f>+B54</f>
        <v>Yamaha</v>
      </c>
      <c r="G66" s="4">
        <f>+G59</f>
        <v>11624</v>
      </c>
    </row>
    <row r="67" spans="1:8" ht="14" thickBot="1" x14ac:dyDescent="0.35">
      <c r="G67" s="14">
        <f>SUM(G63:G66)</f>
        <v>21886</v>
      </c>
    </row>
    <row r="68" spans="1:8" ht="14" thickTop="1" x14ac:dyDescent="0.3">
      <c r="A68" s="24" t="s">
        <v>125</v>
      </c>
      <c r="B68" s="24"/>
      <c r="G68" s="17" t="s">
        <v>126</v>
      </c>
      <c r="H68" s="24" t="s">
        <v>127</v>
      </c>
    </row>
  </sheetData>
  <phoneticPr fontId="3" type="noConversion"/>
  <printOptions gridLines="1"/>
  <pageMargins left="0.35433070866141736" right="0.35433070866141736" top="0.78740157480314965" bottom="0.59055118110236227" header="0.51181102362204722" footer="0.51181102362204722"/>
  <pageSetup paperSize="9" scale="75" orientation="portrait" horizontalDpi="4294967292" verticalDpi="4294967292" r:id="rId1"/>
  <headerFooter alignWithMargins="0">
    <oddHeader>&amp;C&amp;"Verdana,Bold"&amp;16Strum and Co. EXCEL TEMPLATE</oddHeader>
    <oddFooter>&amp;L &amp;CStrum and Co. Practice Set&amp;RPage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37"/>
  <sheetViews>
    <sheetView view="pageLayout" topLeftCell="A112" zoomScale="85" zoomScaleNormal="100" zoomScalePageLayoutView="85" workbookViewId="0">
      <selection activeCell="E16" sqref="E16"/>
    </sheetView>
  </sheetViews>
  <sheetFormatPr defaultColWidth="10" defaultRowHeight="13.5" x14ac:dyDescent="0.3"/>
  <cols>
    <col min="1" max="1" width="9.84375" style="24" customWidth="1"/>
    <col min="2" max="2" width="33.84375" style="24" customWidth="1"/>
    <col min="3" max="3" width="10" style="24"/>
    <col min="4" max="4" width="10" style="4"/>
    <col min="5" max="5" width="12.15234375" style="4" customWidth="1"/>
    <col min="6" max="7" width="10" style="4"/>
    <col min="8" max="16384" width="10" style="24"/>
  </cols>
  <sheetData>
    <row r="1" spans="1:7" s="1" customFormat="1" x14ac:dyDescent="0.3">
      <c r="A1" s="1" t="s">
        <v>116</v>
      </c>
      <c r="B1" s="1" t="s">
        <v>132</v>
      </c>
      <c r="D1" s="23"/>
      <c r="E1" s="23" t="s">
        <v>133</v>
      </c>
      <c r="F1" s="23">
        <v>101</v>
      </c>
      <c r="G1" s="23"/>
    </row>
    <row r="2" spans="1:7" ht="15" x14ac:dyDescent="0.3">
      <c r="D2" s="19"/>
      <c r="E2" s="19"/>
      <c r="F2" s="19"/>
      <c r="G2" s="19"/>
    </row>
    <row r="3" spans="1:7" x14ac:dyDescent="0.3">
      <c r="C3" s="24" t="s">
        <v>117</v>
      </c>
      <c r="D3" s="4" t="s">
        <v>100</v>
      </c>
      <c r="E3" s="4" t="s">
        <v>101</v>
      </c>
      <c r="F3" s="4" t="s">
        <v>3</v>
      </c>
    </row>
    <row r="4" spans="1:7" x14ac:dyDescent="0.3">
      <c r="A4" s="24" t="s">
        <v>59</v>
      </c>
      <c r="F4" s="4" t="s">
        <v>100</v>
      </c>
      <c r="G4" s="4" t="s">
        <v>101</v>
      </c>
    </row>
    <row r="5" spans="1:7" x14ac:dyDescent="0.3">
      <c r="A5" s="25">
        <v>43555</v>
      </c>
      <c r="F5" s="4">
        <f>+'Chart of Accounts'!C4</f>
        <v>14870</v>
      </c>
    </row>
    <row r="6" spans="1:7" x14ac:dyDescent="0.3">
      <c r="A6" s="25">
        <v>44315</v>
      </c>
      <c r="C6" s="24" t="s">
        <v>121</v>
      </c>
      <c r="D6" s="4">
        <f>Journals!D30</f>
        <v>49616</v>
      </c>
      <c r="F6" s="4">
        <f t="shared" ref="F6:F7" si="0">IF(A6="","",F5+D6-E6)</f>
        <v>64486</v>
      </c>
    </row>
    <row r="7" spans="1:7" x14ac:dyDescent="0.3">
      <c r="A7" s="25">
        <v>44315</v>
      </c>
      <c r="C7" s="24" t="s">
        <v>129</v>
      </c>
      <c r="E7" s="4">
        <f>Journals!H51</f>
        <v>44429</v>
      </c>
      <c r="F7" s="4">
        <f t="shared" si="0"/>
        <v>20057</v>
      </c>
    </row>
    <row r="9" spans="1:7" s="1" customFormat="1" x14ac:dyDescent="0.3">
      <c r="A9" s="1" t="s">
        <v>116</v>
      </c>
      <c r="B9" s="1" t="s">
        <v>7</v>
      </c>
      <c r="D9" s="23"/>
      <c r="E9" s="23" t="s">
        <v>133</v>
      </c>
      <c r="F9" s="23">
        <v>110</v>
      </c>
      <c r="G9" s="23"/>
    </row>
    <row r="11" spans="1:7" x14ac:dyDescent="0.3">
      <c r="C11" s="24" t="s">
        <v>117</v>
      </c>
      <c r="D11" s="4" t="s">
        <v>100</v>
      </c>
      <c r="E11" s="4" t="s">
        <v>101</v>
      </c>
      <c r="F11" s="4" t="s">
        <v>3</v>
      </c>
    </row>
    <row r="12" spans="1:7" x14ac:dyDescent="0.3">
      <c r="A12" s="24" t="s">
        <v>59</v>
      </c>
      <c r="F12" s="4" t="s">
        <v>100</v>
      </c>
      <c r="G12" s="4" t="s">
        <v>101</v>
      </c>
    </row>
    <row r="13" spans="1:7" x14ac:dyDescent="0.3">
      <c r="A13" s="25">
        <f>+A5</f>
        <v>43555</v>
      </c>
      <c r="F13" s="4">
        <f>+'Chart of Accounts'!C5</f>
        <v>56518</v>
      </c>
    </row>
    <row r="14" spans="1:7" x14ac:dyDescent="0.3">
      <c r="A14" s="25">
        <v>44306</v>
      </c>
      <c r="C14" s="24" t="s">
        <v>122</v>
      </c>
      <c r="E14" s="4">
        <f>Journals!E64</f>
        <v>660</v>
      </c>
      <c r="F14" s="4">
        <f t="shared" ref="F14:F16" si="1">IF(A14="","",F13+D14-E14)</f>
        <v>55858</v>
      </c>
    </row>
    <row r="15" spans="1:7" x14ac:dyDescent="0.3">
      <c r="A15" s="25">
        <v>44315</v>
      </c>
      <c r="C15" s="24" t="s">
        <v>120</v>
      </c>
      <c r="D15" s="4">
        <f>Journals!E8</f>
        <v>38544</v>
      </c>
      <c r="F15" s="4">
        <f t="shared" si="1"/>
        <v>94402</v>
      </c>
    </row>
    <row r="16" spans="1:7" x14ac:dyDescent="0.3">
      <c r="A16" s="25">
        <v>44315</v>
      </c>
      <c r="C16" s="24" t="s">
        <v>121</v>
      </c>
      <c r="E16" s="4">
        <f>Journals!F30</f>
        <v>43200</v>
      </c>
      <c r="F16" s="4">
        <f t="shared" si="1"/>
        <v>51202</v>
      </c>
    </row>
    <row r="18" spans="1:7" x14ac:dyDescent="0.3">
      <c r="A18" s="1" t="s">
        <v>116</v>
      </c>
      <c r="B18" s="1" t="s">
        <v>8</v>
      </c>
      <c r="C18" s="1"/>
      <c r="D18" s="23"/>
      <c r="E18" s="23" t="s">
        <v>133</v>
      </c>
      <c r="F18" s="23">
        <v>112</v>
      </c>
      <c r="G18" s="23"/>
    </row>
    <row r="20" spans="1:7" x14ac:dyDescent="0.3">
      <c r="C20" s="24" t="s">
        <v>117</v>
      </c>
      <c r="D20" s="4" t="s">
        <v>100</v>
      </c>
      <c r="E20" s="4" t="s">
        <v>101</v>
      </c>
      <c r="F20" s="4" t="s">
        <v>3</v>
      </c>
    </row>
    <row r="21" spans="1:7" x14ac:dyDescent="0.3">
      <c r="A21" s="24" t="s">
        <v>59</v>
      </c>
      <c r="F21" s="4" t="s">
        <v>100</v>
      </c>
      <c r="G21" s="4" t="s">
        <v>101</v>
      </c>
    </row>
    <row r="22" spans="1:7" x14ac:dyDescent="0.3">
      <c r="A22" s="25">
        <f>+A5</f>
        <v>43555</v>
      </c>
      <c r="F22" s="4">
        <f>+'Chart of Accounts'!C6</f>
        <v>24480</v>
      </c>
    </row>
    <row r="23" spans="1:7" x14ac:dyDescent="0.3">
      <c r="A23" s="25">
        <v>44306</v>
      </c>
      <c r="C23" s="24" t="s">
        <v>122</v>
      </c>
      <c r="D23" s="4">
        <f>Journals!D66</f>
        <v>300</v>
      </c>
      <c r="F23" s="4">
        <f t="shared" ref="F23:F27" si="2">IF(A23="","",F22+D23-E23)</f>
        <v>24780</v>
      </c>
    </row>
    <row r="24" spans="1:7" x14ac:dyDescent="0.3">
      <c r="A24" s="25">
        <v>44313</v>
      </c>
      <c r="C24" s="24" t="s">
        <v>122</v>
      </c>
      <c r="E24" s="4">
        <f>Journals!E71</f>
        <v>360</v>
      </c>
      <c r="F24" s="4">
        <f t="shared" si="2"/>
        <v>24420</v>
      </c>
    </row>
    <row r="25" spans="1:7" x14ac:dyDescent="0.3">
      <c r="A25" s="25">
        <v>44315</v>
      </c>
      <c r="C25" s="24" t="s">
        <v>120</v>
      </c>
      <c r="E25" s="4">
        <f>Journals!H8</f>
        <v>17520</v>
      </c>
      <c r="F25" s="4">
        <f t="shared" si="2"/>
        <v>6900</v>
      </c>
    </row>
    <row r="26" spans="1:7" x14ac:dyDescent="0.3">
      <c r="A26" s="25">
        <v>44315</v>
      </c>
      <c r="C26" s="24" t="s">
        <v>130</v>
      </c>
      <c r="D26" s="4">
        <f>Journals!E17</f>
        <v>10200</v>
      </c>
      <c r="F26" s="4">
        <f t="shared" si="2"/>
        <v>17100</v>
      </c>
    </row>
    <row r="27" spans="1:7" x14ac:dyDescent="0.3">
      <c r="A27" s="25">
        <v>44315</v>
      </c>
      <c r="C27" s="24" t="s">
        <v>121</v>
      </c>
      <c r="E27" s="4">
        <f>Journals!I30</f>
        <v>1780</v>
      </c>
      <c r="F27" s="4">
        <f t="shared" si="2"/>
        <v>15320</v>
      </c>
    </row>
    <row r="28" spans="1:7" x14ac:dyDescent="0.3">
      <c r="A28" s="25"/>
    </row>
    <row r="30" spans="1:7" s="1" customFormat="1" x14ac:dyDescent="0.3">
      <c r="A30" s="1" t="s">
        <v>116</v>
      </c>
      <c r="B30" s="1" t="s">
        <v>9</v>
      </c>
      <c r="D30" s="23"/>
      <c r="E30" s="23" t="s">
        <v>133</v>
      </c>
      <c r="F30" s="23">
        <v>115</v>
      </c>
      <c r="G30" s="23"/>
    </row>
    <row r="32" spans="1:7" x14ac:dyDescent="0.3">
      <c r="C32" s="24" t="s">
        <v>117</v>
      </c>
      <c r="D32" s="4" t="s">
        <v>100</v>
      </c>
      <c r="E32" s="4" t="s">
        <v>101</v>
      </c>
      <c r="F32" s="4" t="s">
        <v>3</v>
      </c>
    </row>
    <row r="33" spans="1:7" x14ac:dyDescent="0.3">
      <c r="A33" s="24" t="s">
        <v>59</v>
      </c>
      <c r="F33" s="4" t="s">
        <v>100</v>
      </c>
      <c r="G33" s="4" t="s">
        <v>101</v>
      </c>
    </row>
    <row r="34" spans="1:7" x14ac:dyDescent="0.3">
      <c r="A34" s="25">
        <v>44289</v>
      </c>
      <c r="C34" s="24" t="s">
        <v>129</v>
      </c>
      <c r="D34" s="4">
        <f>Journals!F39</f>
        <v>1200</v>
      </c>
      <c r="F34" s="4">
        <f>D34</f>
        <v>1200</v>
      </c>
    </row>
    <row r="35" spans="1:7" x14ac:dyDescent="0.3">
      <c r="A35" s="25">
        <v>44315</v>
      </c>
      <c r="C35" s="24" t="s">
        <v>134</v>
      </c>
      <c r="E35" s="4">
        <f>Journals!E85</f>
        <v>100</v>
      </c>
      <c r="F35" s="4">
        <f t="shared" ref="F35" si="3">IF(A35="","",F34+D35-E35)</f>
        <v>1100</v>
      </c>
    </row>
    <row r="36" spans="1:7" x14ac:dyDescent="0.3">
      <c r="D36" s="24"/>
      <c r="E36" s="24"/>
      <c r="F36" s="24"/>
      <c r="G36" s="24"/>
    </row>
    <row r="37" spans="1:7" x14ac:dyDescent="0.3">
      <c r="A37" s="1" t="s">
        <v>116</v>
      </c>
      <c r="B37" s="1" t="s">
        <v>11</v>
      </c>
      <c r="C37" s="1"/>
      <c r="D37" s="23"/>
      <c r="E37" s="23" t="s">
        <v>133</v>
      </c>
      <c r="F37" s="23">
        <v>116</v>
      </c>
      <c r="G37" s="23"/>
    </row>
    <row r="39" spans="1:7" x14ac:dyDescent="0.3">
      <c r="C39" s="24" t="s">
        <v>117</v>
      </c>
      <c r="D39" s="4" t="s">
        <v>100</v>
      </c>
      <c r="E39" s="4" t="s">
        <v>101</v>
      </c>
      <c r="F39" s="4" t="s">
        <v>3</v>
      </c>
    </row>
    <row r="40" spans="1:7" x14ac:dyDescent="0.3">
      <c r="A40" s="24" t="s">
        <v>59</v>
      </c>
      <c r="F40" s="4" t="s">
        <v>100</v>
      </c>
      <c r="G40" s="4" t="s">
        <v>101</v>
      </c>
    </row>
    <row r="41" spans="1:7" x14ac:dyDescent="0.3">
      <c r="A41" s="25">
        <f>+A5</f>
        <v>43555</v>
      </c>
      <c r="F41" s="4">
        <f>+'Chart of Accounts'!C8</f>
        <v>15000</v>
      </c>
    </row>
    <row r="42" spans="1:7" x14ac:dyDescent="0.3">
      <c r="A42" s="25">
        <v>44315</v>
      </c>
      <c r="C42" s="24" t="s">
        <v>134</v>
      </c>
      <c r="E42" s="4">
        <f>Journals!E97</f>
        <v>5000</v>
      </c>
      <c r="F42" s="4">
        <f t="shared" ref="F42" si="4">IF(A42="","",F41+D42-E42)</f>
        <v>10000</v>
      </c>
    </row>
    <row r="43" spans="1:7" x14ac:dyDescent="0.3">
      <c r="A43" s="25"/>
    </row>
    <row r="44" spans="1:7" x14ac:dyDescent="0.3">
      <c r="A44" s="1" t="s">
        <v>116</v>
      </c>
      <c r="B44" s="1" t="s">
        <v>12</v>
      </c>
      <c r="C44" s="1"/>
      <c r="D44" s="23"/>
      <c r="E44" s="23" t="s">
        <v>1</v>
      </c>
      <c r="F44" s="23">
        <v>118</v>
      </c>
      <c r="G44" s="23"/>
    </row>
    <row r="45" spans="1:7" x14ac:dyDescent="0.3">
      <c r="A45"/>
      <c r="B45"/>
      <c r="C45"/>
    </row>
    <row r="46" spans="1:7" x14ac:dyDescent="0.3">
      <c r="B46"/>
      <c r="C46" t="s">
        <v>117</v>
      </c>
      <c r="D46" s="4" t="s">
        <v>100</v>
      </c>
      <c r="E46" s="4" t="s">
        <v>101</v>
      </c>
      <c r="F46" s="4" t="s">
        <v>3</v>
      </c>
    </row>
    <row r="47" spans="1:7" x14ac:dyDescent="0.3">
      <c r="A47" t="s">
        <v>59</v>
      </c>
      <c r="B47"/>
      <c r="C47"/>
      <c r="F47" s="4" t="s">
        <v>100</v>
      </c>
      <c r="G47" s="4" t="s">
        <v>101</v>
      </c>
    </row>
    <row r="48" spans="1:7" x14ac:dyDescent="0.3">
      <c r="A48" s="2">
        <f>+A5</f>
        <v>43555</v>
      </c>
      <c r="B48"/>
      <c r="C48"/>
      <c r="F48" s="4">
        <v>1520</v>
      </c>
    </row>
    <row r="49" spans="1:7" x14ac:dyDescent="0.3">
      <c r="A49" s="2">
        <v>44287</v>
      </c>
      <c r="B49"/>
      <c r="C49" s="24" t="s">
        <v>129</v>
      </c>
      <c r="D49" s="4">
        <f>Journals!F38</f>
        <v>700</v>
      </c>
      <c r="F49" s="4">
        <f t="shared" ref="F49:F50" si="5">IF(A49="","",F48+D49-E49)</f>
        <v>2220</v>
      </c>
    </row>
    <row r="50" spans="1:7" x14ac:dyDescent="0.3">
      <c r="A50" s="2">
        <v>44315</v>
      </c>
      <c r="B50"/>
      <c r="C50" s="24" t="s">
        <v>134</v>
      </c>
      <c r="E50" s="4">
        <f>Journals!E94</f>
        <v>1850</v>
      </c>
      <c r="F50" s="4">
        <f t="shared" si="5"/>
        <v>370</v>
      </c>
    </row>
    <row r="52" spans="1:7" s="1" customFormat="1" x14ac:dyDescent="0.3">
      <c r="A52" s="1" t="s">
        <v>116</v>
      </c>
      <c r="B52" s="1" t="s">
        <v>13</v>
      </c>
      <c r="D52" s="23"/>
      <c r="E52" s="23" t="s">
        <v>133</v>
      </c>
      <c r="F52" s="23">
        <v>130</v>
      </c>
      <c r="G52" s="23"/>
    </row>
    <row r="54" spans="1:7" x14ac:dyDescent="0.3">
      <c r="C54" s="24" t="s">
        <v>117</v>
      </c>
      <c r="D54" s="4" t="s">
        <v>100</v>
      </c>
      <c r="E54" s="4" t="s">
        <v>101</v>
      </c>
      <c r="F54" s="4" t="s">
        <v>3</v>
      </c>
    </row>
    <row r="55" spans="1:7" x14ac:dyDescent="0.3">
      <c r="A55" s="24" t="s">
        <v>59</v>
      </c>
      <c r="F55" s="4" t="s">
        <v>100</v>
      </c>
      <c r="G55" s="4" t="s">
        <v>101</v>
      </c>
    </row>
    <row r="56" spans="1:7" x14ac:dyDescent="0.3">
      <c r="A56" s="25">
        <f>+A5</f>
        <v>43555</v>
      </c>
      <c r="F56" s="4">
        <f>+'Chart of Accounts'!C10</f>
        <v>29080</v>
      </c>
    </row>
    <row r="58" spans="1:7" s="1" customFormat="1" x14ac:dyDescent="0.3">
      <c r="A58" s="1" t="s">
        <v>116</v>
      </c>
      <c r="B58" s="1" t="s">
        <v>14</v>
      </c>
      <c r="D58" s="23"/>
      <c r="E58" s="23" t="s">
        <v>133</v>
      </c>
      <c r="F58" s="23">
        <v>131</v>
      </c>
      <c r="G58" s="23"/>
    </row>
    <row r="60" spans="1:7" x14ac:dyDescent="0.3">
      <c r="C60" s="24" t="s">
        <v>117</v>
      </c>
      <c r="D60" s="4" t="s">
        <v>100</v>
      </c>
      <c r="E60" s="4" t="s">
        <v>101</v>
      </c>
      <c r="F60" s="4" t="s">
        <v>3</v>
      </c>
    </row>
    <row r="61" spans="1:7" x14ac:dyDescent="0.3">
      <c r="A61" s="24" t="s">
        <v>59</v>
      </c>
      <c r="F61" s="4" t="s">
        <v>100</v>
      </c>
      <c r="G61" s="4" t="s">
        <v>101</v>
      </c>
    </row>
    <row r="62" spans="1:7" x14ac:dyDescent="0.3">
      <c r="A62" s="25">
        <f>+A5</f>
        <v>43555</v>
      </c>
      <c r="G62" s="4">
        <f>+'Chart of Accounts'!D11</f>
        <v>14040</v>
      </c>
    </row>
    <row r="63" spans="1:7" x14ac:dyDescent="0.3">
      <c r="A63" s="25">
        <v>44315</v>
      </c>
      <c r="C63" s="24" t="s">
        <v>134</v>
      </c>
      <c r="E63" s="4">
        <f>Journals!E88</f>
        <v>468</v>
      </c>
      <c r="G63" s="4">
        <f t="shared" ref="G63" si="6">IF(A63="","",G62+E63-D63)</f>
        <v>14508</v>
      </c>
    </row>
    <row r="65" spans="1:7" s="1" customFormat="1" x14ac:dyDescent="0.3">
      <c r="A65" s="1" t="s">
        <v>116</v>
      </c>
      <c r="B65" s="1" t="s">
        <v>15</v>
      </c>
      <c r="D65" s="23"/>
      <c r="E65" s="23" t="s">
        <v>133</v>
      </c>
      <c r="F65" s="23">
        <v>135</v>
      </c>
      <c r="G65" s="23"/>
    </row>
    <row r="66" spans="1:7" ht="15" x14ac:dyDescent="0.3">
      <c r="D66" s="19"/>
      <c r="E66" s="19"/>
      <c r="F66" s="19"/>
      <c r="G66" s="19"/>
    </row>
    <row r="67" spans="1:7" x14ac:dyDescent="0.3">
      <c r="C67" s="24" t="s">
        <v>117</v>
      </c>
      <c r="D67" s="4" t="s">
        <v>100</v>
      </c>
      <c r="E67" s="4" t="s">
        <v>101</v>
      </c>
      <c r="F67" s="4" t="s">
        <v>3</v>
      </c>
    </row>
    <row r="68" spans="1:7" x14ac:dyDescent="0.3">
      <c r="A68" s="24" t="s">
        <v>59</v>
      </c>
      <c r="F68" s="4" t="s">
        <v>100</v>
      </c>
      <c r="G68" s="4" t="s">
        <v>101</v>
      </c>
    </row>
    <row r="69" spans="1:7" x14ac:dyDescent="0.3">
      <c r="A69" s="25">
        <f>+A5</f>
        <v>43555</v>
      </c>
      <c r="F69" s="4">
        <f>+'Chart of Accounts'!C12</f>
        <v>24460</v>
      </c>
    </row>
    <row r="70" spans="1:7" x14ac:dyDescent="0.3">
      <c r="A70" s="25">
        <v>44286</v>
      </c>
      <c r="C70" s="24" t="s">
        <v>122</v>
      </c>
      <c r="D70" s="4">
        <f>Journals!D58</f>
        <v>1220</v>
      </c>
      <c r="F70" s="4">
        <f t="shared" ref="F70" si="7">IF(A70="","",F69+D70-E70)</f>
        <v>25680</v>
      </c>
    </row>
    <row r="72" spans="1:7" s="1" customFormat="1" x14ac:dyDescent="0.3">
      <c r="A72" s="1" t="s">
        <v>116</v>
      </c>
      <c r="B72" s="1" t="s">
        <v>16</v>
      </c>
      <c r="D72" s="23"/>
      <c r="E72" s="23" t="s">
        <v>133</v>
      </c>
      <c r="F72" s="23">
        <v>136</v>
      </c>
      <c r="G72" s="23"/>
    </row>
    <row r="74" spans="1:7" x14ac:dyDescent="0.3">
      <c r="C74" s="24" t="s">
        <v>117</v>
      </c>
      <c r="D74" s="4" t="s">
        <v>100</v>
      </c>
      <c r="E74" s="4" t="s">
        <v>101</v>
      </c>
      <c r="F74" s="4" t="s">
        <v>3</v>
      </c>
    </row>
    <row r="75" spans="1:7" x14ac:dyDescent="0.3">
      <c r="A75" s="24" t="s">
        <v>59</v>
      </c>
      <c r="F75" s="4" t="s">
        <v>100</v>
      </c>
      <c r="G75" s="4" t="s">
        <v>101</v>
      </c>
    </row>
    <row r="76" spans="1:7" x14ac:dyDescent="0.3">
      <c r="A76" s="25">
        <f>+A5</f>
        <v>43555</v>
      </c>
      <c r="G76" s="4">
        <f>+'Chart of Accounts'!D13</f>
        <v>15288</v>
      </c>
    </row>
    <row r="77" spans="1:7" x14ac:dyDescent="0.3">
      <c r="A77" s="25">
        <v>44315</v>
      </c>
      <c r="C77" s="24" t="s">
        <v>134</v>
      </c>
      <c r="E77" s="4">
        <f>Journals!E91</f>
        <v>570</v>
      </c>
      <c r="G77" s="4">
        <f t="shared" ref="G77" si="8">IF(A77="","",G76+E77-D77)</f>
        <v>15858</v>
      </c>
    </row>
    <row r="80" spans="1:7" s="1" customFormat="1" x14ac:dyDescent="0.3">
      <c r="A80" s="1" t="s">
        <v>116</v>
      </c>
      <c r="B80" s="1" t="s">
        <v>17</v>
      </c>
      <c r="D80" s="23"/>
      <c r="E80" s="23" t="s">
        <v>133</v>
      </c>
      <c r="F80" s="23">
        <v>200</v>
      </c>
      <c r="G80" s="23"/>
    </row>
    <row r="82" spans="1:7" x14ac:dyDescent="0.3">
      <c r="C82" s="24" t="s">
        <v>117</v>
      </c>
      <c r="D82" s="4" t="s">
        <v>100</v>
      </c>
      <c r="E82" s="4" t="s">
        <v>101</v>
      </c>
      <c r="F82" s="4" t="s">
        <v>3</v>
      </c>
    </row>
    <row r="83" spans="1:7" x14ac:dyDescent="0.3">
      <c r="A83" s="24" t="s">
        <v>59</v>
      </c>
      <c r="F83" s="4" t="s">
        <v>100</v>
      </c>
      <c r="G83" s="4" t="s">
        <v>101</v>
      </c>
    </row>
    <row r="84" spans="1:7" x14ac:dyDescent="0.3">
      <c r="A84" s="25">
        <f>+A5</f>
        <v>43555</v>
      </c>
      <c r="G84" s="4">
        <f>+'Chart of Accounts'!D14</f>
        <v>12450</v>
      </c>
    </row>
    <row r="85" spans="1:7" x14ac:dyDescent="0.3">
      <c r="A85" s="25">
        <v>44286</v>
      </c>
      <c r="C85" s="24" t="s">
        <v>122</v>
      </c>
      <c r="D85" s="4">
        <f>Journals!D59</f>
        <v>122</v>
      </c>
      <c r="G85" s="4">
        <f t="shared" ref="G85:G91" si="9">IF(A85="","",G84+E85-D85)</f>
        <v>12328</v>
      </c>
    </row>
    <row r="86" spans="1:7" x14ac:dyDescent="0.3">
      <c r="A86" s="25">
        <v>44306</v>
      </c>
      <c r="C86" s="24" t="s">
        <v>122</v>
      </c>
      <c r="D86" s="4">
        <f>Journals!D63</f>
        <v>60</v>
      </c>
      <c r="G86" s="4">
        <f t="shared" si="9"/>
        <v>12268</v>
      </c>
    </row>
    <row r="87" spans="1:7" x14ac:dyDescent="0.3">
      <c r="A87" s="25">
        <v>44313</v>
      </c>
      <c r="C87" s="24" t="s">
        <v>122</v>
      </c>
      <c r="E87" s="4">
        <f>Journals!E70</f>
        <v>36</v>
      </c>
      <c r="G87" s="4">
        <f t="shared" si="9"/>
        <v>12304</v>
      </c>
    </row>
    <row r="88" spans="1:7" x14ac:dyDescent="0.3">
      <c r="A88" s="25">
        <v>44315</v>
      </c>
      <c r="C88" s="24" t="s">
        <v>129</v>
      </c>
      <c r="D88" s="4">
        <f>Journals!F45</f>
        <v>12450</v>
      </c>
      <c r="G88" s="4">
        <f t="shared" si="9"/>
        <v>-146</v>
      </c>
    </row>
    <row r="89" spans="1:7" x14ac:dyDescent="0.3">
      <c r="A89" s="25">
        <v>44315</v>
      </c>
      <c r="C89" s="24" t="s">
        <v>120</v>
      </c>
      <c r="E89" s="4">
        <f>Journals!F8</f>
        <v>3504</v>
      </c>
      <c r="G89" s="4">
        <f t="shared" si="9"/>
        <v>3358</v>
      </c>
    </row>
    <row r="90" spans="1:7" x14ac:dyDescent="0.3">
      <c r="A90" s="25">
        <v>44315</v>
      </c>
      <c r="C90" s="24" t="s">
        <v>130</v>
      </c>
      <c r="D90" s="4">
        <f>Journals!F17</f>
        <v>1020</v>
      </c>
      <c r="G90" s="4">
        <f t="shared" si="9"/>
        <v>2338</v>
      </c>
    </row>
    <row r="91" spans="1:7" x14ac:dyDescent="0.3">
      <c r="A91" s="25">
        <v>44315</v>
      </c>
      <c r="C91" s="24" t="s">
        <v>121</v>
      </c>
      <c r="E91" s="4">
        <f>Journals!H30</f>
        <v>356</v>
      </c>
      <c r="G91" s="4">
        <f t="shared" si="9"/>
        <v>2694</v>
      </c>
    </row>
    <row r="92" spans="1:7" x14ac:dyDescent="0.3">
      <c r="A92" s="25">
        <v>44315</v>
      </c>
      <c r="C92" s="24" t="s">
        <v>129</v>
      </c>
      <c r="D92" s="4">
        <f>Journals!G51</f>
        <v>284</v>
      </c>
      <c r="G92" s="4">
        <f>G91-D92</f>
        <v>2410</v>
      </c>
    </row>
    <row r="93" spans="1:7" s="1" customFormat="1" x14ac:dyDescent="0.3">
      <c r="A93" s="1" t="s">
        <v>116</v>
      </c>
      <c r="B93" s="1" t="s">
        <v>18</v>
      </c>
      <c r="D93" s="23"/>
      <c r="E93" s="23" t="s">
        <v>1</v>
      </c>
      <c r="F93" s="23">
        <v>201</v>
      </c>
      <c r="G93" s="23"/>
    </row>
    <row r="95" spans="1:7" x14ac:dyDescent="0.3">
      <c r="C95" s="24" t="s">
        <v>117</v>
      </c>
      <c r="D95" s="4" t="s">
        <v>100</v>
      </c>
      <c r="E95" s="4" t="s">
        <v>101</v>
      </c>
      <c r="F95" s="4" t="s">
        <v>3</v>
      </c>
    </row>
    <row r="96" spans="1:7" x14ac:dyDescent="0.3">
      <c r="A96" s="24" t="s">
        <v>59</v>
      </c>
      <c r="F96" s="4" t="s">
        <v>100</v>
      </c>
      <c r="G96" s="4" t="s">
        <v>101</v>
      </c>
    </row>
    <row r="97" spans="1:7" x14ac:dyDescent="0.3">
      <c r="A97" s="25">
        <f>+A5</f>
        <v>43555</v>
      </c>
      <c r="G97" s="4">
        <f>+'Chart of Accounts'!D15</f>
        <v>28970</v>
      </c>
    </row>
    <row r="98" spans="1:7" x14ac:dyDescent="0.3">
      <c r="A98" s="25">
        <v>44286</v>
      </c>
      <c r="C98" s="24" t="s">
        <v>122</v>
      </c>
      <c r="E98" s="4">
        <f>Journals!E60</f>
        <v>1342</v>
      </c>
      <c r="G98" s="4">
        <f t="shared" ref="G98:G101" si="10">IF(A98="","",G97+E98-D98)</f>
        <v>30312</v>
      </c>
    </row>
    <row r="99" spans="1:7" x14ac:dyDescent="0.3">
      <c r="A99" s="25">
        <v>44313</v>
      </c>
      <c r="C99" s="24" t="s">
        <v>122</v>
      </c>
      <c r="D99" s="4">
        <f>Journals!D69</f>
        <v>396</v>
      </c>
      <c r="G99" s="4">
        <f t="shared" si="10"/>
        <v>29916</v>
      </c>
    </row>
    <row r="100" spans="1:7" x14ac:dyDescent="0.3">
      <c r="A100" s="25">
        <v>44315</v>
      </c>
      <c r="C100" s="24" t="s">
        <v>130</v>
      </c>
      <c r="E100" s="4">
        <f>Journals!G17</f>
        <v>11220</v>
      </c>
      <c r="G100" s="4">
        <f t="shared" si="10"/>
        <v>41136</v>
      </c>
    </row>
    <row r="101" spans="1:7" x14ac:dyDescent="0.3">
      <c r="A101" s="25">
        <v>44315</v>
      </c>
      <c r="C101" s="24" t="s">
        <v>129</v>
      </c>
      <c r="D101" s="4">
        <f>Journals!E51</f>
        <v>19250</v>
      </c>
      <c r="G101" s="4">
        <f t="shared" si="10"/>
        <v>21886</v>
      </c>
    </row>
    <row r="103" spans="1:7" s="1" customFormat="1" x14ac:dyDescent="0.3">
      <c r="A103" s="1" t="s">
        <v>116</v>
      </c>
      <c r="B103" s="1" t="s">
        <v>19</v>
      </c>
      <c r="D103" s="23"/>
      <c r="E103" s="23" t="s">
        <v>1</v>
      </c>
      <c r="F103" s="23">
        <v>203</v>
      </c>
      <c r="G103" s="23"/>
    </row>
    <row r="105" spans="1:7" x14ac:dyDescent="0.3">
      <c r="C105" s="24" t="s">
        <v>117</v>
      </c>
      <c r="D105" s="4" t="s">
        <v>100</v>
      </c>
      <c r="E105" s="4" t="s">
        <v>101</v>
      </c>
      <c r="F105" s="4" t="s">
        <v>3</v>
      </c>
    </row>
    <row r="106" spans="1:7" x14ac:dyDescent="0.3">
      <c r="A106" s="24" t="s">
        <v>59</v>
      </c>
      <c r="F106" s="4" t="s">
        <v>100</v>
      </c>
      <c r="G106" s="4" t="s">
        <v>101</v>
      </c>
    </row>
    <row r="107" spans="1:7" x14ac:dyDescent="0.3">
      <c r="A107" s="25">
        <v>44315</v>
      </c>
      <c r="C107" s="24" t="s">
        <v>134</v>
      </c>
      <c r="E107" s="4">
        <f>Journals!E82</f>
        <v>600</v>
      </c>
      <c r="G107" s="4">
        <f>E107</f>
        <v>600</v>
      </c>
    </row>
    <row r="109" spans="1:7" s="1" customFormat="1" x14ac:dyDescent="0.3">
      <c r="A109" s="1" t="s">
        <v>116</v>
      </c>
      <c r="B109" s="1" t="s">
        <v>20</v>
      </c>
      <c r="D109" s="23"/>
      <c r="E109" s="23" t="s">
        <v>1</v>
      </c>
      <c r="F109" s="23">
        <v>205</v>
      </c>
      <c r="G109" s="23"/>
    </row>
    <row r="111" spans="1:7" x14ac:dyDescent="0.3">
      <c r="C111" s="24" t="s">
        <v>117</v>
      </c>
      <c r="D111" s="4" t="s">
        <v>100</v>
      </c>
      <c r="E111" s="4" t="s">
        <v>101</v>
      </c>
      <c r="F111" s="4" t="s">
        <v>3</v>
      </c>
    </row>
    <row r="112" spans="1:7" x14ac:dyDescent="0.3">
      <c r="A112" s="24" t="s">
        <v>59</v>
      </c>
      <c r="F112" s="4" t="s">
        <v>100</v>
      </c>
      <c r="G112" s="4" t="s">
        <v>101</v>
      </c>
    </row>
    <row r="113" spans="1:7" x14ac:dyDescent="0.3">
      <c r="A113" s="25">
        <f>+A5</f>
        <v>43555</v>
      </c>
      <c r="G113" s="4">
        <f>+'Chart of Accounts'!D17</f>
        <v>5180</v>
      </c>
    </row>
    <row r="114" spans="1:7" x14ac:dyDescent="0.3">
      <c r="A114" s="25">
        <v>44315</v>
      </c>
      <c r="C114" s="24" t="s">
        <v>129</v>
      </c>
      <c r="D114" s="4">
        <f>Journals!F46</f>
        <v>5180</v>
      </c>
      <c r="G114" s="4">
        <f t="shared" ref="G114:G115" si="11">IF(A114="","",G113+E114-D114)</f>
        <v>0</v>
      </c>
    </row>
    <row r="115" spans="1:7" x14ac:dyDescent="0.3">
      <c r="A115" s="25">
        <v>44315</v>
      </c>
      <c r="C115" s="24" t="s">
        <v>135</v>
      </c>
      <c r="E115" s="4">
        <f>Journals!E74</f>
        <v>1020</v>
      </c>
      <c r="G115" s="4">
        <f t="shared" si="11"/>
        <v>1020</v>
      </c>
    </row>
    <row r="117" spans="1:7" x14ac:dyDescent="0.3">
      <c r="A117" s="1" t="s">
        <v>116</v>
      </c>
      <c r="B117" s="1" t="s">
        <v>21</v>
      </c>
      <c r="C117" s="1"/>
      <c r="D117" s="23"/>
      <c r="E117" s="23" t="s">
        <v>1</v>
      </c>
      <c r="F117" s="23">
        <v>301</v>
      </c>
      <c r="G117" s="23"/>
    </row>
    <row r="118" spans="1:7" x14ac:dyDescent="0.3">
      <c r="A118" s="1"/>
      <c r="B118" s="1"/>
      <c r="C118" s="1"/>
      <c r="D118" s="23"/>
      <c r="E118" s="23"/>
      <c r="F118" s="23"/>
      <c r="G118" s="23"/>
    </row>
    <row r="120" spans="1:7" s="1" customFormat="1" x14ac:dyDescent="0.3">
      <c r="B120" s="24"/>
      <c r="C120" s="24" t="s">
        <v>117</v>
      </c>
      <c r="D120" s="4" t="s">
        <v>100</v>
      </c>
      <c r="E120" s="4" t="s">
        <v>101</v>
      </c>
      <c r="F120" s="4" t="s">
        <v>3</v>
      </c>
      <c r="G120" s="4"/>
    </row>
    <row r="121" spans="1:7" x14ac:dyDescent="0.3">
      <c r="A121" s="24" t="s">
        <v>59</v>
      </c>
      <c r="F121" s="4" t="s">
        <v>100</v>
      </c>
      <c r="G121" s="4" t="s">
        <v>101</v>
      </c>
    </row>
    <row r="122" spans="1:7" x14ac:dyDescent="0.3">
      <c r="A122" s="25">
        <f>+A5</f>
        <v>43555</v>
      </c>
      <c r="G122" s="4">
        <f>+'Chart of Accounts'!D18</f>
        <v>90000</v>
      </c>
    </row>
    <row r="123" spans="1:7" x14ac:dyDescent="0.3">
      <c r="A123" s="25">
        <v>44315</v>
      </c>
      <c r="C123" s="24" t="s">
        <v>121</v>
      </c>
      <c r="E123" s="4">
        <f>Journals!G30</f>
        <v>2500</v>
      </c>
      <c r="G123" s="4">
        <f t="shared" ref="G123:G125" si="12">IF(A123="","",G122+E123-D123)</f>
        <v>92500</v>
      </c>
    </row>
    <row r="124" spans="1:7" x14ac:dyDescent="0.3">
      <c r="A124" s="25">
        <v>44315</v>
      </c>
      <c r="C124" s="24" t="s">
        <v>136</v>
      </c>
      <c r="E124" s="4">
        <f>Journals!E129</f>
        <v>5027</v>
      </c>
      <c r="G124" s="4">
        <f t="shared" si="12"/>
        <v>97527</v>
      </c>
    </row>
    <row r="125" spans="1:7" x14ac:dyDescent="0.3">
      <c r="A125" s="25">
        <v>44315</v>
      </c>
      <c r="C125" s="24" t="s">
        <v>136</v>
      </c>
      <c r="D125" s="4">
        <f>Journals!D131</f>
        <v>1000</v>
      </c>
      <c r="G125" s="4">
        <f t="shared" si="12"/>
        <v>96527</v>
      </c>
    </row>
    <row r="127" spans="1:7" x14ac:dyDescent="0.3">
      <c r="A127" s="1" t="s">
        <v>116</v>
      </c>
      <c r="B127" s="1" t="s">
        <v>22</v>
      </c>
      <c r="C127" s="1"/>
      <c r="D127" s="23"/>
      <c r="E127" s="23" t="s">
        <v>1</v>
      </c>
      <c r="F127" s="23">
        <v>302</v>
      </c>
      <c r="G127" s="23"/>
    </row>
    <row r="129" spans="1:7" s="1" customFormat="1" x14ac:dyDescent="0.3">
      <c r="B129" s="24"/>
      <c r="C129" s="24" t="s">
        <v>117</v>
      </c>
      <c r="D129" s="4" t="s">
        <v>100</v>
      </c>
      <c r="E129" s="4" t="s">
        <v>101</v>
      </c>
      <c r="F129" s="4" t="s">
        <v>3</v>
      </c>
      <c r="G129" s="4"/>
    </row>
    <row r="130" spans="1:7" x14ac:dyDescent="0.3">
      <c r="A130" s="24" t="s">
        <v>59</v>
      </c>
      <c r="F130" s="4" t="s">
        <v>100</v>
      </c>
      <c r="G130" s="4" t="s">
        <v>101</v>
      </c>
    </row>
    <row r="131" spans="1:7" x14ac:dyDescent="0.3">
      <c r="A131" s="25">
        <v>44289</v>
      </c>
      <c r="C131" s="24" t="s">
        <v>129</v>
      </c>
      <c r="D131" s="4">
        <f>Journals!F40</f>
        <v>1000</v>
      </c>
      <c r="F131" s="4">
        <f>D131</f>
        <v>1000</v>
      </c>
    </row>
    <row r="132" spans="1:7" x14ac:dyDescent="0.3">
      <c r="A132" s="25">
        <v>44315</v>
      </c>
      <c r="C132" s="24" t="s">
        <v>136</v>
      </c>
      <c r="E132" s="4">
        <f>Journals!E132</f>
        <v>1000</v>
      </c>
      <c r="F132" s="4">
        <f>F131-E132</f>
        <v>0</v>
      </c>
    </row>
    <row r="134" spans="1:7" x14ac:dyDescent="0.3">
      <c r="A134" s="1" t="s">
        <v>116</v>
      </c>
      <c r="B134" s="1" t="s">
        <v>23</v>
      </c>
      <c r="C134" s="1"/>
      <c r="D134" s="23"/>
      <c r="E134" s="23" t="s">
        <v>1</v>
      </c>
      <c r="F134" s="23">
        <v>307</v>
      </c>
      <c r="G134" s="23"/>
    </row>
    <row r="136" spans="1:7" s="1" customFormat="1" x14ac:dyDescent="0.3">
      <c r="B136" s="24"/>
      <c r="C136" s="24" t="s">
        <v>117</v>
      </c>
      <c r="D136" s="4" t="s">
        <v>100</v>
      </c>
      <c r="E136" s="4" t="s">
        <v>101</v>
      </c>
      <c r="F136" s="4" t="s">
        <v>3</v>
      </c>
      <c r="G136" s="4"/>
    </row>
    <row r="137" spans="1:7" x14ac:dyDescent="0.3">
      <c r="A137" s="24" t="s">
        <v>59</v>
      </c>
      <c r="F137" s="4" t="s">
        <v>100</v>
      </c>
      <c r="G137" s="4" t="s">
        <v>101</v>
      </c>
    </row>
    <row r="138" spans="1:7" x14ac:dyDescent="0.3">
      <c r="A138" s="25">
        <v>44315</v>
      </c>
      <c r="C138" s="24" t="s">
        <v>136</v>
      </c>
      <c r="E138" s="4">
        <f>Journals!E110</f>
        <v>38600</v>
      </c>
      <c r="G138" s="4">
        <f>E138</f>
        <v>38600</v>
      </c>
    </row>
    <row r="139" spans="1:7" x14ac:dyDescent="0.3">
      <c r="A139" s="25">
        <v>44315</v>
      </c>
      <c r="C139" s="24" t="s">
        <v>136</v>
      </c>
      <c r="D139" s="4">
        <f>Journals!D112</f>
        <v>600</v>
      </c>
      <c r="G139" s="4">
        <f>G138-D139</f>
        <v>38000</v>
      </c>
    </row>
    <row r="140" spans="1:7" x14ac:dyDescent="0.3">
      <c r="A140" s="25">
        <v>44315</v>
      </c>
      <c r="C140" s="24" t="s">
        <v>136</v>
      </c>
      <c r="D140" s="4">
        <f>Journals!D115</f>
        <v>32973</v>
      </c>
      <c r="G140" s="4">
        <f>G139-D140</f>
        <v>5027</v>
      </c>
    </row>
    <row r="141" spans="1:7" x14ac:dyDescent="0.3">
      <c r="A141" s="25">
        <v>44315</v>
      </c>
      <c r="C141" s="24" t="s">
        <v>136</v>
      </c>
      <c r="D141" s="4">
        <f>Journals!D128</f>
        <v>5027</v>
      </c>
      <c r="G141" s="4">
        <f>G140-D141</f>
        <v>0</v>
      </c>
    </row>
    <row r="142" spans="1:7" x14ac:dyDescent="0.3">
      <c r="A142" s="1" t="s">
        <v>116</v>
      </c>
      <c r="B142" s="1" t="s">
        <v>24</v>
      </c>
      <c r="C142" s="1"/>
      <c r="D142" s="23"/>
      <c r="E142" s="23" t="s">
        <v>1</v>
      </c>
      <c r="F142" s="23">
        <v>401</v>
      </c>
      <c r="G142" s="23"/>
    </row>
    <row r="144" spans="1:7" s="1" customFormat="1" x14ac:dyDescent="0.3">
      <c r="B144" s="24"/>
      <c r="C144" s="24" t="s">
        <v>117</v>
      </c>
      <c r="D144" s="4" t="s">
        <v>100</v>
      </c>
      <c r="E144" s="4" t="s">
        <v>101</v>
      </c>
      <c r="F144" s="4" t="s">
        <v>3</v>
      </c>
      <c r="G144" s="4"/>
    </row>
    <row r="145" spans="1:7" x14ac:dyDescent="0.3">
      <c r="A145" s="24" t="s">
        <v>59</v>
      </c>
      <c r="F145" s="4" t="s">
        <v>100</v>
      </c>
      <c r="G145" s="4" t="s">
        <v>101</v>
      </c>
    </row>
    <row r="146" spans="1:7" x14ac:dyDescent="0.3">
      <c r="A146" s="25">
        <v>44315</v>
      </c>
      <c r="C146" s="24" t="s">
        <v>120</v>
      </c>
      <c r="E146" s="4">
        <f>Journals!G8</f>
        <v>35040</v>
      </c>
      <c r="G146" s="4">
        <f>E146</f>
        <v>35040</v>
      </c>
    </row>
    <row r="147" spans="1:7" x14ac:dyDescent="0.3">
      <c r="A147" s="25">
        <v>44315</v>
      </c>
      <c r="C147" s="24" t="s">
        <v>121</v>
      </c>
      <c r="E147" s="4">
        <f>Journals!E30</f>
        <v>3560</v>
      </c>
      <c r="G147" s="4">
        <f>G146+E147</f>
        <v>38600</v>
      </c>
    </row>
    <row r="148" spans="1:7" x14ac:dyDescent="0.3">
      <c r="A148" s="25">
        <v>44315</v>
      </c>
      <c r="C148" s="24" t="s">
        <v>136</v>
      </c>
      <c r="D148" s="4">
        <f>Journals!D109</f>
        <v>38600</v>
      </c>
      <c r="G148" s="4">
        <f>G147-D148</f>
        <v>0</v>
      </c>
    </row>
    <row r="150" spans="1:7" x14ac:dyDescent="0.3">
      <c r="A150" s="1" t="s">
        <v>116</v>
      </c>
      <c r="B150" s="1" t="s">
        <v>25</v>
      </c>
      <c r="C150" s="1"/>
      <c r="D150" s="23"/>
      <c r="E150" s="23" t="s">
        <v>1</v>
      </c>
      <c r="F150" s="23">
        <v>402</v>
      </c>
      <c r="G150" s="23"/>
    </row>
    <row r="152" spans="1:7" x14ac:dyDescent="0.3">
      <c r="C152" s="24" t="s">
        <v>117</v>
      </c>
      <c r="D152" s="4" t="s">
        <v>100</v>
      </c>
      <c r="E152" s="4" t="s">
        <v>101</v>
      </c>
      <c r="F152" s="4" t="s">
        <v>3</v>
      </c>
    </row>
    <row r="153" spans="1:7" s="1" customFormat="1" x14ac:dyDescent="0.3">
      <c r="A153" s="24" t="s">
        <v>59</v>
      </c>
      <c r="B153" s="24"/>
      <c r="C153" s="24"/>
      <c r="D153" s="4"/>
      <c r="E153" s="4"/>
      <c r="F153" s="4" t="s">
        <v>100</v>
      </c>
      <c r="G153" s="4" t="s">
        <v>101</v>
      </c>
    </row>
    <row r="154" spans="1:7" x14ac:dyDescent="0.3">
      <c r="A154" s="25">
        <v>44306</v>
      </c>
      <c r="C154" s="24" t="s">
        <v>122</v>
      </c>
      <c r="D154" s="4">
        <f>Journals!D62</f>
        <v>600</v>
      </c>
      <c r="F154" s="4">
        <f>D154</f>
        <v>600</v>
      </c>
    </row>
    <row r="155" spans="1:7" x14ac:dyDescent="0.3">
      <c r="A155" s="25">
        <v>44315</v>
      </c>
      <c r="C155" s="24" t="s">
        <v>136</v>
      </c>
      <c r="E155" s="4">
        <f>Journals!E113</f>
        <v>600</v>
      </c>
      <c r="F155" s="4">
        <f>F154-E155</f>
        <v>0</v>
      </c>
    </row>
    <row r="156" spans="1:7" ht="12" customHeight="1" x14ac:dyDescent="0.3"/>
    <row r="158" spans="1:7" x14ac:dyDescent="0.3">
      <c r="A158" s="1" t="s">
        <v>116</v>
      </c>
      <c r="B158" s="1" t="s">
        <v>26</v>
      </c>
      <c r="C158" s="1"/>
      <c r="D158" s="23"/>
      <c r="E158" s="23" t="s">
        <v>1</v>
      </c>
      <c r="F158" s="23">
        <v>501</v>
      </c>
      <c r="G158" s="23"/>
    </row>
    <row r="160" spans="1:7" x14ac:dyDescent="0.3">
      <c r="C160" s="24" t="s">
        <v>117</v>
      </c>
      <c r="D160" s="4" t="s">
        <v>100</v>
      </c>
      <c r="E160" s="4" t="s">
        <v>101</v>
      </c>
      <c r="F160" s="4" t="s">
        <v>3</v>
      </c>
    </row>
    <row r="161" spans="1:7" x14ac:dyDescent="0.3">
      <c r="A161" s="24" t="s">
        <v>59</v>
      </c>
      <c r="F161" s="4" t="s">
        <v>100</v>
      </c>
      <c r="G161" s="4" t="s">
        <v>101</v>
      </c>
    </row>
    <row r="162" spans="1:7" x14ac:dyDescent="0.3">
      <c r="A162" s="25">
        <v>44306</v>
      </c>
      <c r="C162" s="24" t="s">
        <v>122</v>
      </c>
      <c r="E162" s="4">
        <f>Journals!E67</f>
        <v>300</v>
      </c>
      <c r="F162" s="4">
        <f>-E162</f>
        <v>-300</v>
      </c>
    </row>
    <row r="163" spans="1:7" x14ac:dyDescent="0.3">
      <c r="A163" s="25">
        <v>44315</v>
      </c>
      <c r="C163" s="24" t="s">
        <v>120</v>
      </c>
      <c r="D163" s="4">
        <f>Journals!H8</f>
        <v>17520</v>
      </c>
      <c r="F163" s="4">
        <f>F162+D163</f>
        <v>17220</v>
      </c>
    </row>
    <row r="164" spans="1:7" x14ac:dyDescent="0.3">
      <c r="A164" s="25">
        <v>44315</v>
      </c>
      <c r="C164" s="24" t="s">
        <v>121</v>
      </c>
      <c r="D164" s="4">
        <f>Journals!I30</f>
        <v>1780</v>
      </c>
      <c r="F164" s="4">
        <f>F163+D164</f>
        <v>19000</v>
      </c>
    </row>
    <row r="165" spans="1:7" x14ac:dyDescent="0.3">
      <c r="A165" s="25">
        <v>44315</v>
      </c>
      <c r="C165" s="24" t="s">
        <v>136</v>
      </c>
      <c r="E165" s="4">
        <f>Journals!E116</f>
        <v>19000</v>
      </c>
      <c r="F165" s="4">
        <f>F164-E165</f>
        <v>0</v>
      </c>
    </row>
    <row r="166" spans="1:7" x14ac:dyDescent="0.3">
      <c r="A166" s="25"/>
    </row>
    <row r="167" spans="1:7" x14ac:dyDescent="0.3">
      <c r="A167" s="1" t="s">
        <v>116</v>
      </c>
      <c r="B167" s="1" t="s">
        <v>27</v>
      </c>
      <c r="C167" s="1"/>
      <c r="D167" s="23"/>
      <c r="E167" s="23" t="s">
        <v>1</v>
      </c>
      <c r="F167" s="23">
        <v>503</v>
      </c>
      <c r="G167" s="23"/>
    </row>
    <row r="168" spans="1:7" s="1" customFormat="1" x14ac:dyDescent="0.3">
      <c r="A168" s="24"/>
      <c r="B168" s="24"/>
      <c r="C168" s="24"/>
      <c r="D168" s="4"/>
      <c r="E168" s="4"/>
      <c r="F168" s="4"/>
      <c r="G168" s="4"/>
    </row>
    <row r="169" spans="1:7" x14ac:dyDescent="0.3">
      <c r="C169" s="24" t="s">
        <v>117</v>
      </c>
      <c r="D169" s="4" t="s">
        <v>100</v>
      </c>
      <c r="E169" s="4" t="s">
        <v>101</v>
      </c>
      <c r="F169" s="4" t="s">
        <v>3</v>
      </c>
    </row>
    <row r="170" spans="1:7" x14ac:dyDescent="0.3">
      <c r="A170" s="24" t="s">
        <v>59</v>
      </c>
      <c r="F170" s="4" t="s">
        <v>100</v>
      </c>
      <c r="G170" s="4" t="s">
        <v>101</v>
      </c>
    </row>
    <row r="171" spans="1:7" x14ac:dyDescent="0.3">
      <c r="A171" s="25">
        <v>44315</v>
      </c>
      <c r="C171" s="24" t="s">
        <v>129</v>
      </c>
      <c r="D171" s="4">
        <f>Journals!F49</f>
        <v>25</v>
      </c>
      <c r="F171" s="4">
        <f>D171</f>
        <v>25</v>
      </c>
    </row>
    <row r="172" spans="1:7" x14ac:dyDescent="0.3">
      <c r="A172" s="2">
        <v>44315</v>
      </c>
      <c r="B172"/>
      <c r="C172" s="24" t="s">
        <v>136</v>
      </c>
      <c r="E172" s="4">
        <f>Journals!E117</f>
        <v>25</v>
      </c>
      <c r="F172" s="4">
        <f>F171-E172</f>
        <v>0</v>
      </c>
    </row>
    <row r="174" spans="1:7" x14ac:dyDescent="0.3">
      <c r="A174" s="1" t="s">
        <v>116</v>
      </c>
      <c r="B174" s="1" t="s">
        <v>113</v>
      </c>
      <c r="C174" s="1"/>
      <c r="D174" s="23"/>
      <c r="E174" s="23" t="s">
        <v>1</v>
      </c>
      <c r="F174" s="23">
        <v>505</v>
      </c>
      <c r="G174" s="23"/>
    </row>
    <row r="175" spans="1:7" s="1" customFormat="1" x14ac:dyDescent="0.3">
      <c r="A175" s="24"/>
      <c r="B175" s="24"/>
      <c r="C175" s="24"/>
      <c r="D175" s="4"/>
      <c r="E175" s="4"/>
      <c r="F175" s="4"/>
      <c r="G175" s="4"/>
    </row>
    <row r="176" spans="1:7" x14ac:dyDescent="0.3">
      <c r="C176" s="24" t="s">
        <v>117</v>
      </c>
      <c r="D176" s="4" t="s">
        <v>100</v>
      </c>
      <c r="E176" s="4" t="s">
        <v>101</v>
      </c>
      <c r="F176" s="4" t="s">
        <v>3</v>
      </c>
    </row>
    <row r="177" spans="1:7" x14ac:dyDescent="0.3">
      <c r="A177" s="24" t="s">
        <v>59</v>
      </c>
      <c r="F177" s="4" t="s">
        <v>100</v>
      </c>
      <c r="G177" s="4" t="s">
        <v>101</v>
      </c>
    </row>
    <row r="178" spans="1:7" x14ac:dyDescent="0.3">
      <c r="A178" s="25">
        <v>44315</v>
      </c>
      <c r="C178" s="24" t="s">
        <v>134</v>
      </c>
      <c r="D178" s="4">
        <f>Journals!D90</f>
        <v>570</v>
      </c>
      <c r="F178" s="4">
        <f>D178</f>
        <v>570</v>
      </c>
    </row>
    <row r="179" spans="1:7" x14ac:dyDescent="0.3">
      <c r="A179" s="2">
        <v>44315</v>
      </c>
      <c r="B179"/>
      <c r="C179" s="24" t="s">
        <v>136</v>
      </c>
      <c r="E179" s="4">
        <f>Journals!E118</f>
        <v>570</v>
      </c>
      <c r="F179" s="4">
        <f>F178-E179</f>
        <v>0</v>
      </c>
    </row>
    <row r="180" spans="1:7" x14ac:dyDescent="0.3">
      <c r="A180" s="2"/>
      <c r="B180"/>
      <c r="C180"/>
    </row>
    <row r="181" spans="1:7" x14ac:dyDescent="0.3">
      <c r="A181" s="1" t="s">
        <v>116</v>
      </c>
      <c r="B181" s="1" t="s">
        <v>114</v>
      </c>
      <c r="C181" s="1"/>
      <c r="D181" s="23"/>
      <c r="E181" s="23" t="s">
        <v>1</v>
      </c>
      <c r="F181" s="23">
        <v>506</v>
      </c>
      <c r="G181" s="23"/>
    </row>
    <row r="182" spans="1:7" s="1" customFormat="1" x14ac:dyDescent="0.3">
      <c r="A182" s="24"/>
      <c r="B182" s="24"/>
      <c r="C182" s="24"/>
      <c r="D182" s="4"/>
      <c r="E182" s="4"/>
      <c r="F182" s="4"/>
      <c r="G182" s="4"/>
    </row>
    <row r="183" spans="1:7" x14ac:dyDescent="0.3">
      <c r="C183" s="24" t="s">
        <v>117</v>
      </c>
      <c r="D183" s="4" t="s">
        <v>100</v>
      </c>
      <c r="E183" s="4" t="s">
        <v>101</v>
      </c>
      <c r="F183" s="4" t="s">
        <v>3</v>
      </c>
    </row>
    <row r="184" spans="1:7" x14ac:dyDescent="0.3">
      <c r="A184" s="24" t="s">
        <v>59</v>
      </c>
      <c r="F184" s="4" t="s">
        <v>100</v>
      </c>
      <c r="G184" s="4" t="s">
        <v>101</v>
      </c>
    </row>
    <row r="185" spans="1:7" x14ac:dyDescent="0.3">
      <c r="A185" s="25">
        <v>44315</v>
      </c>
      <c r="C185" s="24" t="s">
        <v>134</v>
      </c>
      <c r="D185" s="4">
        <f>Journals!D87</f>
        <v>468</v>
      </c>
      <c r="F185" s="4">
        <f>D185</f>
        <v>468</v>
      </c>
    </row>
    <row r="186" spans="1:7" x14ac:dyDescent="0.3">
      <c r="A186" s="25">
        <v>44315</v>
      </c>
      <c r="C186" s="24" t="s">
        <v>136</v>
      </c>
      <c r="E186" s="4">
        <f>Journals!E119</f>
        <v>468</v>
      </c>
      <c r="F186" s="4">
        <f>F185-E186</f>
        <v>0</v>
      </c>
    </row>
    <row r="187" spans="1:7" x14ac:dyDescent="0.3">
      <c r="A187" s="25"/>
    </row>
    <row r="188" spans="1:7" x14ac:dyDescent="0.3">
      <c r="A188" s="1" t="s">
        <v>116</v>
      </c>
      <c r="B188" s="1" t="s">
        <v>30</v>
      </c>
      <c r="C188" s="1"/>
      <c r="D188" s="23"/>
      <c r="E188" s="23" t="s">
        <v>1</v>
      </c>
      <c r="F188" s="23">
        <v>510</v>
      </c>
      <c r="G188" s="23"/>
    </row>
    <row r="190" spans="1:7" x14ac:dyDescent="0.3">
      <c r="C190" s="24" t="s">
        <v>117</v>
      </c>
      <c r="D190" s="4" t="s">
        <v>100</v>
      </c>
      <c r="E190" s="4" t="s">
        <v>101</v>
      </c>
      <c r="F190" s="4" t="s">
        <v>3</v>
      </c>
    </row>
    <row r="191" spans="1:7" x14ac:dyDescent="0.3">
      <c r="A191" s="24" t="s">
        <v>59</v>
      </c>
      <c r="F191" s="4" t="s">
        <v>100</v>
      </c>
      <c r="G191" s="4" t="s">
        <v>101</v>
      </c>
    </row>
    <row r="192" spans="1:7" x14ac:dyDescent="0.3">
      <c r="A192" s="50">
        <v>44286</v>
      </c>
      <c r="C192" s="24" t="s">
        <v>129</v>
      </c>
      <c r="D192" s="4">
        <f>Journals!F37</f>
        <v>300</v>
      </c>
      <c r="F192" s="4">
        <f>D192</f>
        <v>300</v>
      </c>
    </row>
    <row r="193" spans="1:7" x14ac:dyDescent="0.3">
      <c r="A193" s="2">
        <v>44315</v>
      </c>
      <c r="B193"/>
      <c r="C193" s="24" t="s">
        <v>129</v>
      </c>
      <c r="D193" s="4">
        <f>Journals!F48</f>
        <v>130</v>
      </c>
      <c r="F193" s="4">
        <f>F192+D193</f>
        <v>430</v>
      </c>
    </row>
    <row r="194" spans="1:7" x14ac:dyDescent="0.3">
      <c r="A194" s="25">
        <v>44315</v>
      </c>
      <c r="C194" s="24" t="s">
        <v>136</v>
      </c>
      <c r="E194" s="4">
        <f>Journals!E120</f>
        <v>430</v>
      </c>
      <c r="F194" s="4">
        <f>F193-E194</f>
        <v>0</v>
      </c>
    </row>
    <row r="195" spans="1:7" x14ac:dyDescent="0.3">
      <c r="A195" s="1" t="s">
        <v>116</v>
      </c>
      <c r="B195" s="1" t="s">
        <v>31</v>
      </c>
      <c r="C195" s="1"/>
      <c r="D195" s="23"/>
      <c r="E195" s="23" t="s">
        <v>1</v>
      </c>
      <c r="F195" s="23">
        <v>520</v>
      </c>
      <c r="G195" s="23"/>
    </row>
    <row r="197" spans="1:7" s="1" customFormat="1" x14ac:dyDescent="0.3">
      <c r="B197" s="24"/>
      <c r="C197" s="24" t="s">
        <v>117</v>
      </c>
      <c r="D197" s="4" t="s">
        <v>100</v>
      </c>
      <c r="E197" s="4" t="s">
        <v>101</v>
      </c>
      <c r="F197" s="4" t="s">
        <v>3</v>
      </c>
      <c r="G197" s="4"/>
    </row>
    <row r="198" spans="1:7" x14ac:dyDescent="0.3">
      <c r="A198" s="24" t="s">
        <v>59</v>
      </c>
      <c r="F198" s="4" t="s">
        <v>100</v>
      </c>
      <c r="G198" s="4" t="s">
        <v>101</v>
      </c>
    </row>
    <row r="199" spans="1:7" x14ac:dyDescent="0.3">
      <c r="A199" s="25">
        <v>44315</v>
      </c>
      <c r="C199" s="24" t="s">
        <v>134</v>
      </c>
      <c r="D199" s="4">
        <f>Journals!D84</f>
        <v>100</v>
      </c>
      <c r="F199" s="4">
        <f>D199</f>
        <v>100</v>
      </c>
    </row>
    <row r="200" spans="1:7" x14ac:dyDescent="0.3">
      <c r="A200" s="2">
        <v>44315</v>
      </c>
      <c r="B200"/>
      <c r="C200" s="24" t="s">
        <v>136</v>
      </c>
      <c r="E200" s="4">
        <f>Journals!E121</f>
        <v>100</v>
      </c>
      <c r="F200" s="4">
        <f>F199-E200</f>
        <v>0</v>
      </c>
    </row>
    <row r="202" spans="1:7" s="1" customFormat="1" x14ac:dyDescent="0.3">
      <c r="A202" s="1" t="s">
        <v>116</v>
      </c>
      <c r="B202" s="1" t="s">
        <v>32</v>
      </c>
      <c r="D202" s="23"/>
      <c r="E202" s="23" t="s">
        <v>1</v>
      </c>
      <c r="F202" s="23">
        <v>542</v>
      </c>
      <c r="G202" s="23"/>
    </row>
    <row r="204" spans="1:7" x14ac:dyDescent="0.3">
      <c r="C204" s="24" t="s">
        <v>117</v>
      </c>
      <c r="D204" s="4" t="s">
        <v>100</v>
      </c>
      <c r="E204" s="4" t="s">
        <v>101</v>
      </c>
      <c r="F204" s="4" t="s">
        <v>3</v>
      </c>
    </row>
    <row r="205" spans="1:7" x14ac:dyDescent="0.3">
      <c r="A205" s="24" t="s">
        <v>59</v>
      </c>
      <c r="F205" s="4" t="s">
        <v>100</v>
      </c>
      <c r="G205" s="4" t="s">
        <v>101</v>
      </c>
    </row>
    <row r="206" spans="1:7" x14ac:dyDescent="0.3">
      <c r="A206" s="25">
        <v>44315</v>
      </c>
      <c r="C206" s="24" t="s">
        <v>134</v>
      </c>
      <c r="D206" s="4">
        <f>Journals!D93</f>
        <v>1850</v>
      </c>
      <c r="F206" s="4">
        <f>D206</f>
        <v>1850</v>
      </c>
    </row>
    <row r="207" spans="1:7" x14ac:dyDescent="0.3">
      <c r="A207" s="2">
        <v>44315</v>
      </c>
      <c r="B207"/>
      <c r="C207" s="24" t="s">
        <v>136</v>
      </c>
      <c r="E207" s="4">
        <f>Journals!E122</f>
        <v>1850</v>
      </c>
      <c r="F207" s="4">
        <f>F206-E207</f>
        <v>0</v>
      </c>
    </row>
    <row r="209" spans="1:7" s="1" customFormat="1" x14ac:dyDescent="0.3">
      <c r="A209" s="1" t="s">
        <v>116</v>
      </c>
      <c r="B209" s="1" t="s">
        <v>33</v>
      </c>
      <c r="D209" s="23"/>
      <c r="E209" s="23" t="s">
        <v>1</v>
      </c>
      <c r="F209" s="23">
        <v>560</v>
      </c>
      <c r="G209" s="23"/>
    </row>
    <row r="211" spans="1:7" x14ac:dyDescent="0.3">
      <c r="C211" s="24" t="s">
        <v>117</v>
      </c>
      <c r="D211" s="4" t="s">
        <v>100</v>
      </c>
      <c r="E211" s="4" t="s">
        <v>101</v>
      </c>
      <c r="F211" s="4" t="s">
        <v>3</v>
      </c>
    </row>
    <row r="212" spans="1:7" x14ac:dyDescent="0.3">
      <c r="A212" s="24" t="s">
        <v>59</v>
      </c>
      <c r="F212" s="4" t="s">
        <v>100</v>
      </c>
      <c r="G212" s="4" t="s">
        <v>101</v>
      </c>
    </row>
    <row r="213" spans="1:7" x14ac:dyDescent="0.3">
      <c r="A213" s="25">
        <v>44315</v>
      </c>
      <c r="C213" s="24" t="s">
        <v>134</v>
      </c>
      <c r="D213" s="4">
        <f>Journals!D96</f>
        <v>5000</v>
      </c>
      <c r="F213" s="4">
        <f>D213</f>
        <v>5000</v>
      </c>
    </row>
    <row r="214" spans="1:7" x14ac:dyDescent="0.3">
      <c r="A214" s="2">
        <v>44315</v>
      </c>
      <c r="B214"/>
      <c r="C214" s="24" t="s">
        <v>136</v>
      </c>
      <c r="E214" s="4">
        <f>Journals!E123</f>
        <v>5000</v>
      </c>
      <c r="F214" s="4">
        <f>F213-E214</f>
        <v>0</v>
      </c>
    </row>
    <row r="216" spans="1:7" s="1" customFormat="1" x14ac:dyDescent="0.3">
      <c r="A216" s="1" t="s">
        <v>116</v>
      </c>
      <c r="B216" s="1" t="s">
        <v>34</v>
      </c>
      <c r="D216" s="23"/>
      <c r="E216" s="23" t="s">
        <v>1</v>
      </c>
      <c r="F216" s="23">
        <v>580</v>
      </c>
      <c r="G216" s="23"/>
    </row>
    <row r="218" spans="1:7" x14ac:dyDescent="0.3">
      <c r="C218" s="24" t="s">
        <v>117</v>
      </c>
      <c r="D218" s="4" t="s">
        <v>100</v>
      </c>
      <c r="E218" s="4" t="s">
        <v>101</v>
      </c>
      <c r="F218" s="4" t="s">
        <v>3</v>
      </c>
    </row>
    <row r="219" spans="1:7" x14ac:dyDescent="0.3">
      <c r="A219" s="24" t="s">
        <v>59</v>
      </c>
      <c r="F219" s="4" t="s">
        <v>100</v>
      </c>
      <c r="G219" s="4" t="s">
        <v>101</v>
      </c>
    </row>
    <row r="220" spans="1:7" x14ac:dyDescent="0.3">
      <c r="A220" s="25">
        <v>44311</v>
      </c>
      <c r="C220" s="24" t="s">
        <v>129</v>
      </c>
      <c r="D220" s="4">
        <f>Journals!F44</f>
        <v>250</v>
      </c>
      <c r="F220" s="4">
        <f>D220</f>
        <v>250</v>
      </c>
    </row>
    <row r="221" spans="1:7" x14ac:dyDescent="0.3">
      <c r="A221" s="2">
        <v>44315</v>
      </c>
      <c r="B221"/>
      <c r="C221" s="24" t="s">
        <v>136</v>
      </c>
      <c r="E221" s="4">
        <v>250</v>
      </c>
      <c r="F221" s="4">
        <f>F220-E221</f>
        <v>0</v>
      </c>
    </row>
    <row r="223" spans="1:7" x14ac:dyDescent="0.3">
      <c r="A223" s="1" t="s">
        <v>116</v>
      </c>
      <c r="B223" s="1" t="str">
        <f>+'Chart of Accounts'!B32</f>
        <v>Utilities Expense</v>
      </c>
      <c r="C223" s="1"/>
      <c r="D223" s="23"/>
      <c r="E223" s="23" t="s">
        <v>1</v>
      </c>
      <c r="F223" s="23">
        <f>+'Chart of Accounts'!A32</f>
        <v>582</v>
      </c>
      <c r="G223" s="23"/>
    </row>
    <row r="225" spans="1:7" x14ac:dyDescent="0.3">
      <c r="C225" s="24" t="s">
        <v>117</v>
      </c>
      <c r="D225" s="4" t="s">
        <v>100</v>
      </c>
      <c r="E225" s="4" t="s">
        <v>101</v>
      </c>
      <c r="F225" s="4" t="s">
        <v>3</v>
      </c>
    </row>
    <row r="226" spans="1:7" x14ac:dyDescent="0.3">
      <c r="A226" s="24" t="s">
        <v>59</v>
      </c>
      <c r="F226" s="4" t="s">
        <v>100</v>
      </c>
      <c r="G226" s="4" t="s">
        <v>101</v>
      </c>
    </row>
    <row r="227" spans="1:7" x14ac:dyDescent="0.3">
      <c r="A227" s="25">
        <v>44315</v>
      </c>
      <c r="C227" s="24" t="s">
        <v>129</v>
      </c>
      <c r="D227" s="4">
        <f>Journals!F47</f>
        <v>260</v>
      </c>
      <c r="F227" s="4">
        <f>D227</f>
        <v>260</v>
      </c>
    </row>
    <row r="228" spans="1:7" x14ac:dyDescent="0.3">
      <c r="A228" s="2">
        <v>44315</v>
      </c>
      <c r="B228"/>
      <c r="C228" s="24" t="s">
        <v>136</v>
      </c>
      <c r="E228" s="4">
        <f>Journals!E125</f>
        <v>260</v>
      </c>
      <c r="F228" s="4">
        <f>F227-E228</f>
        <v>0</v>
      </c>
    </row>
    <row r="230" spans="1:7" x14ac:dyDescent="0.3">
      <c r="A230" s="1" t="s">
        <v>116</v>
      </c>
      <c r="B230" s="1" t="s">
        <v>36</v>
      </c>
      <c r="C230" s="1"/>
      <c r="D230" s="23"/>
      <c r="E230" s="23" t="s">
        <v>1</v>
      </c>
      <c r="F230" s="23">
        <v>585</v>
      </c>
      <c r="G230" s="23"/>
    </row>
    <row r="232" spans="1:7" x14ac:dyDescent="0.3">
      <c r="C232" s="24" t="s">
        <v>117</v>
      </c>
      <c r="D232" s="4" t="s">
        <v>100</v>
      </c>
      <c r="E232" s="4" t="s">
        <v>101</v>
      </c>
      <c r="F232" s="4" t="s">
        <v>3</v>
      </c>
    </row>
    <row r="233" spans="1:7" x14ac:dyDescent="0.3">
      <c r="A233" s="24" t="s">
        <v>59</v>
      </c>
      <c r="F233" s="4" t="s">
        <v>100</v>
      </c>
      <c r="G233" s="4" t="s">
        <v>101</v>
      </c>
    </row>
    <row r="234" spans="1:7" x14ac:dyDescent="0.3">
      <c r="A234" s="25">
        <v>44289</v>
      </c>
      <c r="C234" s="24" t="s">
        <v>129</v>
      </c>
      <c r="D234" s="4">
        <f>Journals!F41</f>
        <v>3400</v>
      </c>
      <c r="F234" s="4">
        <f>D234</f>
        <v>3400</v>
      </c>
    </row>
    <row r="235" spans="1:7" x14ac:dyDescent="0.3">
      <c r="A235" s="25">
        <v>44315</v>
      </c>
      <c r="C235" s="24" t="s">
        <v>122</v>
      </c>
      <c r="D235" s="4">
        <f>Journals!D73</f>
        <v>1020</v>
      </c>
      <c r="F235" s="4">
        <f>F234+D235</f>
        <v>4420</v>
      </c>
    </row>
    <row r="236" spans="1:7" x14ac:dyDescent="0.3">
      <c r="A236" s="25">
        <v>44315</v>
      </c>
      <c r="C236" s="24" t="s">
        <v>134</v>
      </c>
      <c r="D236" s="4">
        <f>Journals!D81</f>
        <v>600</v>
      </c>
      <c r="F236" s="4">
        <f>F235+D236</f>
        <v>5020</v>
      </c>
    </row>
    <row r="237" spans="1:7" x14ac:dyDescent="0.3">
      <c r="A237" s="2">
        <v>44315</v>
      </c>
      <c r="B237"/>
      <c r="C237" s="24" t="s">
        <v>136</v>
      </c>
      <c r="E237" s="4">
        <f>Journals!E126</f>
        <v>5020</v>
      </c>
      <c r="F237" s="4">
        <f>F236-E237</f>
        <v>0</v>
      </c>
    </row>
  </sheetData>
  <phoneticPr fontId="3" type="noConversion"/>
  <printOptions gridLines="1"/>
  <pageMargins left="0.35433070866141736" right="0.35433070866141736" top="0.78740157480314965" bottom="0.59055118110236227" header="0.51181102362204722" footer="0.51181102362204722"/>
  <pageSetup paperSize="9" scale="70" orientation="portrait" horizontalDpi="4294967292" verticalDpi="4294967292" r:id="rId1"/>
  <headerFooter alignWithMargins="0">
    <oddHeader>&amp;C&amp;"Verdana,Bold"&amp;16Strum and Co. EXCEL TEMPLATE</oddHeader>
    <oddFooter>&amp;L &amp;CStrum and Co. Practice Set&amp;RPage &amp;P of &amp;N</oddFooter>
  </headerFooter>
  <rowBreaks count="2" manualBreakCount="2">
    <brk id="78" max="16383" man="1"/>
    <brk id="157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O43"/>
  <sheetViews>
    <sheetView view="pageLayout" topLeftCell="A14" zoomScale="70" zoomScaleNormal="100" zoomScalePageLayoutView="70" workbookViewId="0">
      <selection activeCell="K38" sqref="K38"/>
    </sheetView>
  </sheetViews>
  <sheetFormatPr defaultColWidth="11" defaultRowHeight="13.5" x14ac:dyDescent="0.3"/>
  <cols>
    <col min="1" max="1" width="4.15234375" customWidth="1"/>
    <col min="2" max="2" width="42.4609375" bestFit="1" customWidth="1"/>
    <col min="3" max="4" width="11" customWidth="1"/>
    <col min="5" max="5" width="6.4609375" style="5" customWidth="1"/>
    <col min="6" max="6" width="8.84375" customWidth="1"/>
    <col min="7" max="7" width="6.15234375" style="5" customWidth="1"/>
    <col min="8" max="8" width="8.3828125" customWidth="1"/>
    <col min="9" max="9" width="9.15234375" customWidth="1"/>
    <col min="10" max="10" width="10.61328125" customWidth="1"/>
    <col min="11" max="11" width="10" customWidth="1"/>
    <col min="12" max="12" width="8.4609375" customWidth="1"/>
    <col min="13" max="13" width="9.3828125" customWidth="1"/>
    <col min="14" max="14" width="10.3828125" customWidth="1"/>
  </cols>
  <sheetData>
    <row r="1" spans="1:14" ht="15" x14ac:dyDescent="0.3">
      <c r="A1" s="12" t="s">
        <v>137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4" spans="1:14" x14ac:dyDescent="0.3">
      <c r="B4" s="1" t="s">
        <v>138</v>
      </c>
      <c r="C4" s="20" t="s">
        <v>139</v>
      </c>
      <c r="D4" s="20"/>
      <c r="E4" s="65" t="s">
        <v>140</v>
      </c>
      <c r="F4" s="66"/>
      <c r="G4" s="66"/>
      <c r="H4" s="66"/>
      <c r="I4" s="20" t="s">
        <v>141</v>
      </c>
      <c r="J4" s="20"/>
      <c r="K4" s="20" t="s">
        <v>142</v>
      </c>
      <c r="L4" s="20"/>
      <c r="M4" s="20" t="s">
        <v>143</v>
      </c>
      <c r="N4" s="20"/>
    </row>
    <row r="5" spans="1:14" ht="20" x14ac:dyDescent="0.3">
      <c r="B5" s="1"/>
      <c r="C5" s="20" t="s">
        <v>4</v>
      </c>
      <c r="D5" s="20" t="s">
        <v>5</v>
      </c>
      <c r="E5" s="42" t="s">
        <v>144</v>
      </c>
      <c r="F5" s="20" t="s">
        <v>4</v>
      </c>
      <c r="G5" s="43" t="s">
        <v>144</v>
      </c>
      <c r="H5" s="20" t="s">
        <v>5</v>
      </c>
      <c r="I5" s="20" t="s">
        <v>4</v>
      </c>
      <c r="J5" s="20" t="s">
        <v>5</v>
      </c>
      <c r="K5" s="20" t="s">
        <v>4</v>
      </c>
      <c r="L5" s="20" t="s">
        <v>5</v>
      </c>
      <c r="M5" s="20" t="s">
        <v>4</v>
      </c>
      <c r="N5" s="20" t="s">
        <v>5</v>
      </c>
    </row>
    <row r="6" spans="1:14" x14ac:dyDescent="0.3">
      <c r="C6" s="4"/>
      <c r="E6" s="43"/>
    </row>
    <row r="7" spans="1:14" x14ac:dyDescent="0.3">
      <c r="A7">
        <f>+'Chart of Accounts'!A4</f>
        <v>101</v>
      </c>
      <c r="B7" t="str">
        <f>+'Chart of Accounts'!B4</f>
        <v>Cash at Bank - ANZ</v>
      </c>
      <c r="C7" s="10">
        <f>'Gen Ledger'!F7</f>
        <v>20057</v>
      </c>
      <c r="D7" s="10"/>
      <c r="F7" s="10"/>
      <c r="G7" s="46"/>
      <c r="H7" s="10"/>
      <c r="I7" s="10">
        <f>C7</f>
        <v>20057</v>
      </c>
      <c r="J7" s="10"/>
      <c r="K7" s="10"/>
      <c r="L7" s="10"/>
      <c r="M7" s="10">
        <f t="shared" ref="M7:M13" si="0">I7</f>
        <v>20057</v>
      </c>
      <c r="N7" s="10"/>
    </row>
    <row r="8" spans="1:14" x14ac:dyDescent="0.3">
      <c r="A8">
        <f>+'Chart of Accounts'!A5</f>
        <v>110</v>
      </c>
      <c r="B8" t="str">
        <f>+'Chart of Accounts'!B5</f>
        <v>Accounts Receivable</v>
      </c>
      <c r="C8" s="10">
        <f>'Gen Ledger'!F16</f>
        <v>51202</v>
      </c>
      <c r="D8" s="10"/>
      <c r="F8" s="10"/>
      <c r="G8" s="46"/>
      <c r="H8" s="10"/>
      <c r="I8" s="10">
        <f>C8</f>
        <v>51202</v>
      </c>
      <c r="J8" s="10"/>
      <c r="K8" s="10"/>
      <c r="L8" s="10"/>
      <c r="M8" s="10">
        <f t="shared" si="0"/>
        <v>51202</v>
      </c>
      <c r="N8" s="10"/>
    </row>
    <row r="9" spans="1:14" x14ac:dyDescent="0.3">
      <c r="A9">
        <f>+'Chart of Accounts'!A6</f>
        <v>112</v>
      </c>
      <c r="B9" t="str">
        <f>+'Chart of Accounts'!B6</f>
        <v>Inventory</v>
      </c>
      <c r="C9" s="10">
        <f>'Gen Ledger'!F27</f>
        <v>15320</v>
      </c>
      <c r="D9" s="10"/>
      <c r="F9" s="10"/>
      <c r="G9" s="46"/>
      <c r="H9" s="10"/>
      <c r="I9" s="10">
        <f>C9</f>
        <v>15320</v>
      </c>
      <c r="J9" s="10"/>
      <c r="K9" s="10"/>
      <c r="L9" s="10"/>
      <c r="M9" s="10">
        <f t="shared" si="0"/>
        <v>15320</v>
      </c>
      <c r="N9" s="10"/>
    </row>
    <row r="10" spans="1:14" x14ac:dyDescent="0.3">
      <c r="A10">
        <f>+'Chart of Accounts'!A7</f>
        <v>115</v>
      </c>
      <c r="B10" t="str">
        <f>+'Chart of Accounts'!B7</f>
        <v>Prepaid Insurance</v>
      </c>
      <c r="C10" s="10">
        <f>'Gen Ledger'!F34</f>
        <v>1200</v>
      </c>
      <c r="D10" s="10"/>
      <c r="F10" s="10"/>
      <c r="G10" s="46"/>
      <c r="H10" s="4">
        <f>'Gen Ledger'!E35</f>
        <v>100</v>
      </c>
      <c r="I10" s="10">
        <f>C10-H10</f>
        <v>1100</v>
      </c>
      <c r="J10" s="10"/>
      <c r="K10" s="10"/>
      <c r="L10" s="10"/>
      <c r="M10" s="10">
        <f t="shared" si="0"/>
        <v>1100</v>
      </c>
      <c r="N10" s="10"/>
    </row>
    <row r="11" spans="1:14" x14ac:dyDescent="0.3">
      <c r="A11">
        <f>+'Chart of Accounts'!A8</f>
        <v>116</v>
      </c>
      <c r="B11" t="str">
        <f>+'Chart of Accounts'!B8</f>
        <v>Prepaid Rent</v>
      </c>
      <c r="C11" s="10">
        <f>'Gen Ledger'!F41</f>
        <v>15000</v>
      </c>
      <c r="D11" s="10"/>
      <c r="F11" s="10"/>
      <c r="G11" s="44"/>
      <c r="H11" s="4">
        <f>'Gen Ledger'!E42</f>
        <v>5000</v>
      </c>
      <c r="I11" s="10">
        <f>C11-H11</f>
        <v>10000</v>
      </c>
      <c r="J11" s="10"/>
      <c r="K11" s="10"/>
      <c r="L11" s="10"/>
      <c r="M11" s="10">
        <f t="shared" si="0"/>
        <v>10000</v>
      </c>
      <c r="N11" s="10"/>
    </row>
    <row r="12" spans="1:14" x14ac:dyDescent="0.3">
      <c r="A12">
        <f>+'Chart of Accounts'!A9</f>
        <v>118</v>
      </c>
      <c r="B12" t="str">
        <f>+'Chart of Accounts'!B9</f>
        <v>Office Supplies</v>
      </c>
      <c r="C12" s="4">
        <f>'Gen Ledger'!F49</f>
        <v>2220</v>
      </c>
      <c r="F12" s="10"/>
      <c r="G12" s="46"/>
      <c r="H12" s="10">
        <f>'Gen Ledger'!F206</f>
        <v>1850</v>
      </c>
      <c r="I12" s="10">
        <f>C12-H12</f>
        <v>370</v>
      </c>
      <c r="J12" s="10"/>
      <c r="K12" s="10"/>
      <c r="L12" s="10"/>
      <c r="M12" s="10">
        <f t="shared" si="0"/>
        <v>370</v>
      </c>
      <c r="N12" s="10"/>
    </row>
    <row r="13" spans="1:14" x14ac:dyDescent="0.3">
      <c r="A13">
        <f>+'Chart of Accounts'!A10</f>
        <v>130</v>
      </c>
      <c r="B13" t="str">
        <f>+'Chart of Accounts'!B10</f>
        <v>Store Equipment</v>
      </c>
      <c r="C13" s="10">
        <f>'Gen Ledger'!F56</f>
        <v>29080</v>
      </c>
      <c r="D13" s="10"/>
      <c r="F13" s="10"/>
      <c r="I13" s="10">
        <f>C13</f>
        <v>29080</v>
      </c>
      <c r="J13" s="10"/>
      <c r="K13" s="10"/>
      <c r="L13" s="10"/>
      <c r="M13" s="10">
        <f t="shared" si="0"/>
        <v>29080</v>
      </c>
      <c r="N13" s="10"/>
    </row>
    <row r="14" spans="1:14" x14ac:dyDescent="0.3">
      <c r="A14">
        <f>+'Chart of Accounts'!A11</f>
        <v>131</v>
      </c>
      <c r="B14" t="str">
        <f>+'Chart of Accounts'!B11</f>
        <v>Accumulated Depreciation - Store Equipment</v>
      </c>
      <c r="C14" s="10"/>
      <c r="D14" s="10">
        <f>'Gen Ledger'!G62</f>
        <v>14040</v>
      </c>
      <c r="F14" s="10"/>
      <c r="G14" s="46"/>
      <c r="H14" s="10">
        <f>'Gen Ledger'!E63</f>
        <v>468</v>
      </c>
      <c r="I14" s="10"/>
      <c r="J14" s="10">
        <f>D14+H14</f>
        <v>14508</v>
      </c>
      <c r="K14" s="10"/>
      <c r="L14" s="10"/>
      <c r="M14" s="10"/>
      <c r="N14" s="10">
        <f>J14</f>
        <v>14508</v>
      </c>
    </row>
    <row r="15" spans="1:14" x14ac:dyDescent="0.3">
      <c r="A15">
        <f>+'Chart of Accounts'!A12</f>
        <v>135</v>
      </c>
      <c r="B15" t="str">
        <f>+'Chart of Accounts'!B12</f>
        <v>Computer Equipment</v>
      </c>
      <c r="C15" s="10">
        <f>'Gen Ledger'!F70</f>
        <v>25680</v>
      </c>
      <c r="D15" s="10"/>
      <c r="F15" s="10"/>
      <c r="G15" s="46"/>
      <c r="H15" s="10"/>
      <c r="I15" s="10">
        <f>C15</f>
        <v>25680</v>
      </c>
      <c r="J15" s="10"/>
      <c r="K15" s="10"/>
      <c r="L15" s="10"/>
      <c r="M15" s="10">
        <f>I15</f>
        <v>25680</v>
      </c>
      <c r="N15" s="10"/>
    </row>
    <row r="16" spans="1:14" x14ac:dyDescent="0.3">
      <c r="A16">
        <f>+'Chart of Accounts'!A13</f>
        <v>136</v>
      </c>
      <c r="B16" t="str">
        <f>+'Chart of Accounts'!B13</f>
        <v>Accumulated Depreciation - Computer Equipment</v>
      </c>
      <c r="C16" s="10"/>
      <c r="D16" s="10">
        <f>'Gen Ledger'!G76</f>
        <v>15288</v>
      </c>
      <c r="F16" s="10"/>
      <c r="G16" s="46"/>
      <c r="H16" s="10">
        <f>'Gen Ledger'!E77</f>
        <v>570</v>
      </c>
      <c r="I16" s="10"/>
      <c r="J16" s="10">
        <f>D16+H16</f>
        <v>15858</v>
      </c>
      <c r="K16" s="10"/>
      <c r="L16" s="10"/>
      <c r="M16" s="10"/>
      <c r="N16" s="10">
        <f t="shared" ref="N16:N21" si="1">J16</f>
        <v>15858</v>
      </c>
    </row>
    <row r="17" spans="1:15" x14ac:dyDescent="0.3">
      <c r="A17">
        <f>+'Chart of Accounts'!A14</f>
        <v>200</v>
      </c>
      <c r="B17" t="str">
        <f>+'Chart of Accounts'!B14</f>
        <v>GST Clearing (Tax Payable GST)</v>
      </c>
      <c r="C17" s="10"/>
      <c r="D17" s="10">
        <f>'Gen Ledger'!G92</f>
        <v>2410</v>
      </c>
      <c r="F17" s="10"/>
      <c r="G17" s="46"/>
      <c r="H17" s="10"/>
      <c r="I17" s="10"/>
      <c r="J17" s="10">
        <f>D17</f>
        <v>2410</v>
      </c>
      <c r="K17" s="10"/>
      <c r="L17" s="10"/>
      <c r="M17" s="10"/>
      <c r="N17" s="10">
        <f t="shared" si="1"/>
        <v>2410</v>
      </c>
    </row>
    <row r="18" spans="1:15" x14ac:dyDescent="0.3">
      <c r="A18">
        <f>+'Chart of Accounts'!A15</f>
        <v>201</v>
      </c>
      <c r="B18" t="str">
        <f>+'Chart of Accounts'!B15</f>
        <v>Accounts Payable</v>
      </c>
      <c r="C18" s="10"/>
      <c r="D18" s="10">
        <f>'Gen Ledger'!G101</f>
        <v>21886</v>
      </c>
      <c r="F18" s="10"/>
      <c r="I18" s="10"/>
      <c r="J18" s="10">
        <f>D18</f>
        <v>21886</v>
      </c>
      <c r="K18" s="10"/>
      <c r="L18" s="10"/>
      <c r="M18" s="10"/>
      <c r="N18" s="10">
        <f t="shared" si="1"/>
        <v>21886</v>
      </c>
    </row>
    <row r="19" spans="1:15" x14ac:dyDescent="0.3">
      <c r="A19">
        <f>+'Chart of Accounts'!A16</f>
        <v>203</v>
      </c>
      <c r="B19" t="str">
        <f>+'Chart of Accounts'!B16</f>
        <v>Wages Payable</v>
      </c>
      <c r="C19" s="10"/>
      <c r="F19" s="10"/>
      <c r="G19" s="46"/>
      <c r="H19" s="10">
        <f>'Gen Ledger'!G107</f>
        <v>600</v>
      </c>
      <c r="I19" s="10"/>
      <c r="J19" s="10">
        <f>H19</f>
        <v>600</v>
      </c>
      <c r="K19" s="10"/>
      <c r="L19" s="10"/>
      <c r="M19" s="10"/>
      <c r="N19" s="10">
        <f t="shared" si="1"/>
        <v>600</v>
      </c>
      <c r="O19" s="22"/>
    </row>
    <row r="20" spans="1:15" x14ac:dyDescent="0.3">
      <c r="A20">
        <f>+'Chart of Accounts'!A17</f>
        <v>205</v>
      </c>
      <c r="B20" t="str">
        <f>+'Chart of Accounts'!B17</f>
        <v>PAYG Tax Payable</v>
      </c>
      <c r="D20" s="10">
        <f>'Gen Ledger'!G115</f>
        <v>1020</v>
      </c>
      <c r="F20" s="10"/>
      <c r="G20" s="46"/>
      <c r="H20" s="10"/>
      <c r="I20" s="10"/>
      <c r="J20" s="10">
        <f>D20</f>
        <v>1020</v>
      </c>
      <c r="K20" s="10"/>
      <c r="L20" s="10"/>
      <c r="N20" s="10">
        <f t="shared" si="1"/>
        <v>1020</v>
      </c>
    </row>
    <row r="21" spans="1:15" x14ac:dyDescent="0.3">
      <c r="A21">
        <f>+'Chart of Accounts'!A18</f>
        <v>301</v>
      </c>
      <c r="B21" t="str">
        <f>+'Chart of Accounts'!B18</f>
        <v>Capital</v>
      </c>
      <c r="C21" s="10"/>
      <c r="D21" s="10">
        <f>'Gen Ledger'!G123</f>
        <v>92500</v>
      </c>
      <c r="F21" s="10"/>
      <c r="G21" s="46"/>
      <c r="H21" s="10"/>
      <c r="I21" s="10"/>
      <c r="J21" s="10">
        <f>D21</f>
        <v>92500</v>
      </c>
      <c r="K21" s="10"/>
      <c r="L21" s="10"/>
      <c r="M21" s="10"/>
      <c r="N21" s="10">
        <f t="shared" si="1"/>
        <v>92500</v>
      </c>
    </row>
    <row r="22" spans="1:15" x14ac:dyDescent="0.3">
      <c r="A22">
        <f>+'Chart of Accounts'!A19</f>
        <v>302</v>
      </c>
      <c r="B22" t="str">
        <f>+'Chart of Accounts'!B19</f>
        <v>Drawings</v>
      </c>
      <c r="C22" s="10">
        <f>'Gen Ledger'!F131</f>
        <v>1000</v>
      </c>
      <c r="D22" s="10"/>
      <c r="F22" s="10"/>
      <c r="G22" s="46"/>
      <c r="H22" s="10"/>
      <c r="I22" s="10">
        <f>C22</f>
        <v>1000</v>
      </c>
      <c r="J22" s="10"/>
      <c r="K22" s="10"/>
      <c r="L22" s="10"/>
      <c r="M22" s="10">
        <f>I22</f>
        <v>1000</v>
      </c>
      <c r="N22" s="10"/>
    </row>
    <row r="23" spans="1:15" x14ac:dyDescent="0.3">
      <c r="A23">
        <f>+'Chart of Accounts'!A21</f>
        <v>401</v>
      </c>
      <c r="B23" t="str">
        <f>+'Chart of Accounts'!B21</f>
        <v>Sales Revenue</v>
      </c>
      <c r="D23" s="10">
        <f>'Gen Ledger'!G147</f>
        <v>38600</v>
      </c>
      <c r="F23" s="10"/>
      <c r="G23" s="46"/>
      <c r="H23" s="10"/>
      <c r="I23" s="10"/>
      <c r="J23" s="10">
        <f>D23</f>
        <v>38600</v>
      </c>
      <c r="K23" s="10"/>
      <c r="L23" s="10">
        <f>J23</f>
        <v>38600</v>
      </c>
      <c r="M23" s="10"/>
      <c r="N23" s="10"/>
    </row>
    <row r="24" spans="1:15" x14ac:dyDescent="0.3">
      <c r="A24">
        <f>+'Chart of Accounts'!A22</f>
        <v>402</v>
      </c>
      <c r="B24" t="str">
        <f>+'Chart of Accounts'!B22</f>
        <v>Sales Returns &amp; Allowances</v>
      </c>
      <c r="C24" s="10">
        <f>'Gen Ledger'!F154</f>
        <v>600</v>
      </c>
      <c r="D24" s="10"/>
      <c r="F24" s="10"/>
      <c r="G24" s="46"/>
      <c r="H24" s="10"/>
      <c r="I24" s="10">
        <f>C24</f>
        <v>600</v>
      </c>
      <c r="J24" s="10"/>
      <c r="K24" s="10">
        <f t="shared" ref="K24:K35" si="2">I24</f>
        <v>600</v>
      </c>
      <c r="L24" s="10"/>
      <c r="M24" s="10"/>
      <c r="N24" s="10"/>
    </row>
    <row r="25" spans="1:15" x14ac:dyDescent="0.3">
      <c r="A25">
        <f>+'Chart of Accounts'!A23</f>
        <v>501</v>
      </c>
      <c r="B25" t="str">
        <f>+'Chart of Accounts'!B23</f>
        <v>Cost of Sales</v>
      </c>
      <c r="C25" s="10">
        <f>'Gen Ledger'!F164</f>
        <v>19000</v>
      </c>
      <c r="D25" s="10"/>
      <c r="F25" s="10"/>
      <c r="G25" s="46"/>
      <c r="H25" s="10"/>
      <c r="I25" s="10">
        <f>C25</f>
        <v>19000</v>
      </c>
      <c r="J25" s="10"/>
      <c r="K25" s="10">
        <f t="shared" si="2"/>
        <v>19000</v>
      </c>
      <c r="L25" s="10"/>
      <c r="M25" s="10"/>
      <c r="N25" s="10"/>
    </row>
    <row r="26" spans="1:15" x14ac:dyDescent="0.3">
      <c r="A26">
        <f>+'Chart of Accounts'!A24</f>
        <v>503</v>
      </c>
      <c r="B26" t="str">
        <f>+'Chart of Accounts'!B24</f>
        <v>Bank Charges</v>
      </c>
      <c r="C26" s="10">
        <f>'Gen Ledger'!F171</f>
        <v>25</v>
      </c>
      <c r="D26" s="10"/>
      <c r="G26" s="46"/>
      <c r="H26" s="10"/>
      <c r="I26" s="10">
        <f>C26</f>
        <v>25</v>
      </c>
      <c r="J26" s="10"/>
      <c r="K26" s="10">
        <f t="shared" si="2"/>
        <v>25</v>
      </c>
      <c r="L26" s="10"/>
      <c r="M26" s="10"/>
      <c r="N26" s="10"/>
    </row>
    <row r="27" spans="1:15" x14ac:dyDescent="0.3">
      <c r="A27">
        <f>+'Chart of Accounts'!A25</f>
        <v>505</v>
      </c>
      <c r="B27" t="str">
        <f>+'Chart of Accounts'!B25</f>
        <v>Depreciation Expense - Computer Equipment</v>
      </c>
      <c r="C27" s="10"/>
      <c r="D27" s="10"/>
      <c r="F27" s="10">
        <f>'Gen Ledger'!F178</f>
        <v>570</v>
      </c>
      <c r="G27" s="46"/>
      <c r="H27" s="10"/>
      <c r="I27" s="10">
        <f>F27</f>
        <v>570</v>
      </c>
      <c r="J27" s="10"/>
      <c r="K27" s="10">
        <f t="shared" si="2"/>
        <v>570</v>
      </c>
      <c r="L27" s="10"/>
      <c r="M27" s="10"/>
      <c r="N27" s="10"/>
    </row>
    <row r="28" spans="1:15" x14ac:dyDescent="0.3">
      <c r="A28">
        <f>+'Chart of Accounts'!A26</f>
        <v>506</v>
      </c>
      <c r="B28" t="str">
        <f>+'Chart of Accounts'!B26</f>
        <v>Depreciation Expense - Store Equipment</v>
      </c>
      <c r="C28" s="10"/>
      <c r="D28" s="10"/>
      <c r="F28" s="10">
        <f>'Gen Ledger'!F185</f>
        <v>468</v>
      </c>
      <c r="G28" s="46"/>
      <c r="H28" s="10"/>
      <c r="I28" s="10">
        <f>F28</f>
        <v>468</v>
      </c>
      <c r="J28" s="10"/>
      <c r="K28" s="10">
        <f t="shared" si="2"/>
        <v>468</v>
      </c>
      <c r="L28" s="10"/>
      <c r="M28" s="10"/>
      <c r="N28" s="10"/>
    </row>
    <row r="29" spans="1:15" x14ac:dyDescent="0.3">
      <c r="A29">
        <f>+'Chart of Accounts'!A27</f>
        <v>510</v>
      </c>
      <c r="B29" t="str">
        <f>+'Chart of Accounts'!B27</f>
        <v>Electrical Repairs Expense</v>
      </c>
      <c r="C29" s="10">
        <f>'Gen Ledger'!F193</f>
        <v>430</v>
      </c>
      <c r="D29" s="10"/>
      <c r="G29" s="46"/>
      <c r="H29" s="10"/>
      <c r="I29" s="10">
        <f>C29</f>
        <v>430</v>
      </c>
      <c r="J29" s="10"/>
      <c r="K29" s="10">
        <f t="shared" si="2"/>
        <v>430</v>
      </c>
      <c r="L29" s="10"/>
      <c r="M29" s="10"/>
      <c r="N29" s="10"/>
    </row>
    <row r="30" spans="1:15" x14ac:dyDescent="0.3">
      <c r="A30">
        <f>+'Chart of Accounts'!A28</f>
        <v>520</v>
      </c>
      <c r="B30" t="str">
        <f>+'Chart of Accounts'!B28</f>
        <v>Insurance Expense</v>
      </c>
      <c r="C30" s="10"/>
      <c r="D30" s="10"/>
      <c r="F30" s="10">
        <f>'Gen Ledger'!F199</f>
        <v>100</v>
      </c>
      <c r="G30" s="46"/>
      <c r="H30" s="10"/>
      <c r="I30" s="10">
        <f>F30</f>
        <v>100</v>
      </c>
      <c r="J30" s="10"/>
      <c r="K30" s="10">
        <f t="shared" si="2"/>
        <v>100</v>
      </c>
      <c r="L30" s="10"/>
      <c r="M30" s="10"/>
      <c r="N30" s="10"/>
    </row>
    <row r="31" spans="1:15" x14ac:dyDescent="0.3">
      <c r="A31">
        <f>+'Chart of Accounts'!A29</f>
        <v>542</v>
      </c>
      <c r="B31" t="str">
        <f>+'Chart of Accounts'!B29</f>
        <v>Office Supplies Expense</v>
      </c>
      <c r="C31" s="10"/>
      <c r="D31" s="10"/>
      <c r="E31" s="44"/>
      <c r="F31" s="10">
        <f>'Gen Ledger'!F206</f>
        <v>1850</v>
      </c>
      <c r="G31" s="46"/>
      <c r="H31" s="10"/>
      <c r="I31" s="10">
        <f>F31</f>
        <v>1850</v>
      </c>
      <c r="J31" s="10"/>
      <c r="K31" s="10">
        <f t="shared" si="2"/>
        <v>1850</v>
      </c>
      <c r="L31" s="10"/>
      <c r="M31" s="10"/>
      <c r="N31" s="10"/>
    </row>
    <row r="32" spans="1:15" x14ac:dyDescent="0.3">
      <c r="A32">
        <f>+'Chart of Accounts'!A30</f>
        <v>560</v>
      </c>
      <c r="B32" t="str">
        <f>+'Chart of Accounts'!B30</f>
        <v>Rent Expense</v>
      </c>
      <c r="C32" s="10"/>
      <c r="D32" s="10"/>
      <c r="E32" s="44"/>
      <c r="F32" s="4">
        <f>'Gen Ledger'!F213</f>
        <v>5000</v>
      </c>
      <c r="G32" s="46"/>
      <c r="H32" s="10"/>
      <c r="I32" s="10">
        <f>F32</f>
        <v>5000</v>
      </c>
      <c r="J32" s="10"/>
      <c r="K32" s="10">
        <f t="shared" si="2"/>
        <v>5000</v>
      </c>
      <c r="L32" s="10"/>
      <c r="M32" s="10"/>
      <c r="N32" s="10"/>
    </row>
    <row r="33" spans="1:14" x14ac:dyDescent="0.3">
      <c r="A33">
        <f>+'Chart of Accounts'!A31</f>
        <v>580</v>
      </c>
      <c r="B33" t="str">
        <f>+'Chart of Accounts'!B31</f>
        <v>Telephone and Internet Expense</v>
      </c>
      <c r="C33" s="10">
        <f>'Gen Ledger'!F220</f>
        <v>250</v>
      </c>
      <c r="D33" s="10"/>
      <c r="F33" s="10"/>
      <c r="G33" s="46"/>
      <c r="H33" s="10"/>
      <c r="I33" s="10">
        <f>C33</f>
        <v>250</v>
      </c>
      <c r="J33" s="10"/>
      <c r="K33" s="10">
        <f t="shared" si="2"/>
        <v>250</v>
      </c>
      <c r="L33" s="10"/>
      <c r="M33" s="10"/>
      <c r="N33" s="10"/>
    </row>
    <row r="34" spans="1:14" x14ac:dyDescent="0.3">
      <c r="A34">
        <f>+'Chart of Accounts'!A32</f>
        <v>582</v>
      </c>
      <c r="B34" t="str">
        <f>+'Chart of Accounts'!B32</f>
        <v>Utilities Expense</v>
      </c>
      <c r="C34" s="10">
        <f>'Gen Ledger'!F227</f>
        <v>260</v>
      </c>
      <c r="D34" s="10"/>
      <c r="F34" s="10"/>
      <c r="G34" s="46"/>
      <c r="H34" s="10"/>
      <c r="I34" s="10">
        <f>C34</f>
        <v>260</v>
      </c>
      <c r="J34" s="10"/>
      <c r="K34" s="10">
        <f t="shared" si="2"/>
        <v>260</v>
      </c>
      <c r="L34" s="10"/>
      <c r="M34" s="10"/>
      <c r="N34" s="10"/>
    </row>
    <row r="35" spans="1:14" x14ac:dyDescent="0.3">
      <c r="A35">
        <f>+'Chart of Accounts'!A33</f>
        <v>585</v>
      </c>
      <c r="B35" t="str">
        <f>+'Chart of Accounts'!B33</f>
        <v>Wages Expense</v>
      </c>
      <c r="C35" s="10">
        <f>'Gen Ledger'!F235</f>
        <v>4420</v>
      </c>
      <c r="D35" s="10"/>
      <c r="E35" s="44"/>
      <c r="F35" s="10">
        <f>'Gen Ledger'!D236</f>
        <v>600</v>
      </c>
      <c r="G35" s="46"/>
      <c r="H35" s="10"/>
      <c r="I35" s="10">
        <f>C35+F35</f>
        <v>5020</v>
      </c>
      <c r="J35" s="10"/>
      <c r="K35" s="10">
        <f t="shared" si="2"/>
        <v>5020</v>
      </c>
      <c r="L35" s="10"/>
      <c r="M35" s="10"/>
      <c r="N35" s="10"/>
    </row>
    <row r="36" spans="1:14" ht="14" thickBot="1" x14ac:dyDescent="0.35">
      <c r="C36" s="18">
        <f>SUM(C6:C35)</f>
        <v>185744</v>
      </c>
      <c r="D36" s="18">
        <f>SUM(D6:D35)</f>
        <v>185744</v>
      </c>
      <c r="E36" s="45"/>
      <c r="F36" s="18">
        <f>SUM(F7:F35)</f>
        <v>8588</v>
      </c>
      <c r="G36" s="45"/>
      <c r="H36" s="18">
        <f>SUM(H7:H35)</f>
        <v>8588</v>
      </c>
      <c r="I36" s="18">
        <f>SUM(I7:I35)</f>
        <v>187382</v>
      </c>
      <c r="J36" s="18">
        <f>SUM(J7:J35)</f>
        <v>187382</v>
      </c>
      <c r="K36" s="18">
        <f>SUM(K7:K35)</f>
        <v>33573</v>
      </c>
      <c r="L36" s="18">
        <f>SUM(L7:L35)</f>
        <v>38600</v>
      </c>
      <c r="M36" s="18">
        <f t="shared" ref="M36:N36" si="3">SUM(M7:M35)</f>
        <v>153809</v>
      </c>
      <c r="N36" s="18">
        <f t="shared" si="3"/>
        <v>148782</v>
      </c>
    </row>
    <row r="37" spans="1:14" ht="14" thickTop="1" x14ac:dyDescent="0.3">
      <c r="B37" t="s">
        <v>145</v>
      </c>
      <c r="C37" s="22"/>
      <c r="F37" s="10"/>
      <c r="G37" s="46"/>
      <c r="H37" s="10"/>
      <c r="I37" s="10"/>
      <c r="J37" s="10"/>
      <c r="K37" s="10">
        <f>L36-K36</f>
        <v>5027</v>
      </c>
      <c r="L37" s="10"/>
      <c r="M37" s="10"/>
      <c r="N37" s="10">
        <f>K37</f>
        <v>5027</v>
      </c>
    </row>
    <row r="38" spans="1:14" ht="14" thickBot="1" x14ac:dyDescent="0.35">
      <c r="B38" s="24"/>
      <c r="F38" s="10"/>
      <c r="G38" s="46"/>
      <c r="H38" s="10"/>
      <c r="I38" s="10"/>
      <c r="J38" s="10"/>
      <c r="K38" s="18">
        <f>SUM(K36:K37)</f>
        <v>38600</v>
      </c>
      <c r="L38" s="18">
        <f>SUM(L36:L37)</f>
        <v>38600</v>
      </c>
      <c r="M38" s="18">
        <f t="shared" ref="M38:N38" si="4">SUM(M36:M37)</f>
        <v>153809</v>
      </c>
      <c r="N38" s="18">
        <f t="shared" si="4"/>
        <v>153809</v>
      </c>
    </row>
    <row r="39" spans="1:14" ht="14" thickTop="1" x14ac:dyDescent="0.3">
      <c r="A39" s="24" t="s">
        <v>146</v>
      </c>
      <c r="C39" s="4">
        <f>C36-D36</f>
        <v>0</v>
      </c>
    </row>
    <row r="40" spans="1:14" x14ac:dyDescent="0.3">
      <c r="A40" s="24" t="s">
        <v>147</v>
      </c>
      <c r="C40" s="4">
        <f>+F36-H36</f>
        <v>0</v>
      </c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</row>
    <row r="41" spans="1:14" x14ac:dyDescent="0.3">
      <c r="A41" s="24" t="s">
        <v>148</v>
      </c>
      <c r="C41" s="4">
        <f>+I36-J36</f>
        <v>0</v>
      </c>
    </row>
    <row r="42" spans="1:14" x14ac:dyDescent="0.3">
      <c r="A42" s="24" t="s">
        <v>149</v>
      </c>
      <c r="C42" s="4">
        <f>+K38-L38</f>
        <v>0</v>
      </c>
    </row>
    <row r="43" spans="1:14" x14ac:dyDescent="0.3">
      <c r="A43" s="24" t="s">
        <v>150</v>
      </c>
      <c r="C43" s="4">
        <f>+M38-N38</f>
        <v>0</v>
      </c>
    </row>
  </sheetData>
  <mergeCells count="1">
    <mergeCell ref="E4:H4"/>
  </mergeCells>
  <phoneticPr fontId="3" type="noConversion"/>
  <printOptions gridLines="1"/>
  <pageMargins left="0.35433070866141736" right="0.35433070866141736" top="0.78740157480314965" bottom="0.59055118110236227" header="0.51181102362204722" footer="0.51181102362204722"/>
  <pageSetup paperSize="9" scale="79" fitToHeight="0" orientation="landscape" horizontalDpi="4294967292" verticalDpi="4294967292" r:id="rId1"/>
  <headerFooter alignWithMargins="0">
    <oddHeader>&amp;C&amp;"Verdana,Bold"&amp;16Strum and Co. EXCEL TEMPLATE</oddHeader>
    <oddFooter>&amp;L &amp;CStrum and Co. Practice Set&amp;RPage &amp;P of &amp;N</oddFooter>
  </headerFooter>
  <ignoredErrors>
    <ignoredError sqref="I29 J19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F53"/>
  <sheetViews>
    <sheetView tabSelected="1" view="pageLayout" topLeftCell="A26" zoomScale="85" zoomScaleNormal="100" zoomScalePageLayoutView="85" workbookViewId="0">
      <selection activeCell="A49" sqref="A49"/>
    </sheetView>
  </sheetViews>
  <sheetFormatPr defaultColWidth="11" defaultRowHeight="13.5" x14ac:dyDescent="0.3"/>
  <cols>
    <col min="1" max="1" width="21" bestFit="1" customWidth="1"/>
    <col min="2" max="2" width="35.61328125" customWidth="1"/>
  </cols>
  <sheetData>
    <row r="1" spans="1:6" ht="15" x14ac:dyDescent="0.3">
      <c r="B1" s="12"/>
    </row>
    <row r="2" spans="1:6" ht="15" x14ac:dyDescent="0.3">
      <c r="B2" s="49" t="s">
        <v>151</v>
      </c>
    </row>
    <row r="3" spans="1:6" ht="15" x14ac:dyDescent="0.3">
      <c r="B3" s="12" t="s">
        <v>152</v>
      </c>
      <c r="C3" s="9"/>
    </row>
    <row r="5" spans="1:6" x14ac:dyDescent="0.3">
      <c r="A5" s="24" t="s">
        <v>153</v>
      </c>
      <c r="B5" s="1"/>
    </row>
    <row r="6" spans="1:6" x14ac:dyDescent="0.3">
      <c r="B6" s="24" t="s">
        <v>24</v>
      </c>
      <c r="D6" s="30">
        <f>Worksheet!L23</f>
        <v>38600</v>
      </c>
      <c r="F6" s="31"/>
    </row>
    <row r="7" spans="1:6" x14ac:dyDescent="0.3">
      <c r="B7" s="24" t="s">
        <v>154</v>
      </c>
      <c r="C7" s="10">
        <f>Worksheet!K24</f>
        <v>600</v>
      </c>
      <c r="D7" s="30"/>
      <c r="F7" s="31"/>
    </row>
    <row r="8" spans="1:6" x14ac:dyDescent="0.3">
      <c r="B8" s="24" t="s">
        <v>155</v>
      </c>
      <c r="C8" s="10"/>
      <c r="D8" s="30">
        <f>D6-C7</f>
        <v>38000</v>
      </c>
      <c r="F8" s="31"/>
    </row>
    <row r="9" spans="1:6" x14ac:dyDescent="0.3">
      <c r="B9" s="24" t="s">
        <v>26</v>
      </c>
      <c r="C9" s="10">
        <f>Worksheet!K25</f>
        <v>19000</v>
      </c>
      <c r="D9" s="30"/>
      <c r="F9" s="31"/>
    </row>
    <row r="10" spans="1:6" x14ac:dyDescent="0.3">
      <c r="B10" s="24" t="s">
        <v>156</v>
      </c>
      <c r="C10" s="10"/>
      <c r="D10" s="54">
        <f>D8-C9</f>
        <v>19000</v>
      </c>
      <c r="F10" s="31"/>
    </row>
    <row r="11" spans="1:6" x14ac:dyDescent="0.3">
      <c r="B11" s="24"/>
      <c r="C11" s="10"/>
      <c r="D11" s="30"/>
      <c r="F11" s="31"/>
    </row>
    <row r="12" spans="1:6" x14ac:dyDescent="0.3">
      <c r="A12" s="24" t="s">
        <v>157</v>
      </c>
      <c r="C12" s="10"/>
      <c r="D12" s="30"/>
      <c r="E12" s="31"/>
    </row>
    <row r="13" spans="1:6" x14ac:dyDescent="0.3">
      <c r="B13" s="24" t="s">
        <v>36</v>
      </c>
      <c r="C13" s="10">
        <f>Worksheet!K35</f>
        <v>5020</v>
      </c>
    </row>
    <row r="14" spans="1:6" x14ac:dyDescent="0.3">
      <c r="A14" s="24" t="s">
        <v>158</v>
      </c>
      <c r="B14" s="1"/>
      <c r="C14" s="10"/>
    </row>
    <row r="15" spans="1:6" x14ac:dyDescent="0.3">
      <c r="B15" t="s">
        <v>28</v>
      </c>
      <c r="C15" s="10">
        <f>Worksheet!K27</f>
        <v>570</v>
      </c>
    </row>
    <row r="16" spans="1:6" x14ac:dyDescent="0.3">
      <c r="B16" t="s">
        <v>29</v>
      </c>
      <c r="C16" s="10">
        <f>Worksheet!K28</f>
        <v>468</v>
      </c>
    </row>
    <row r="17" spans="1:4" x14ac:dyDescent="0.3">
      <c r="B17" s="24" t="s">
        <v>30</v>
      </c>
      <c r="C17" s="10">
        <f>Worksheet!K29</f>
        <v>430</v>
      </c>
    </row>
    <row r="18" spans="1:4" x14ac:dyDescent="0.3">
      <c r="B18" t="s">
        <v>31</v>
      </c>
      <c r="C18" s="10">
        <f>Worksheet!K30</f>
        <v>100</v>
      </c>
    </row>
    <row r="19" spans="1:4" x14ac:dyDescent="0.3">
      <c r="B19" t="s">
        <v>32</v>
      </c>
      <c r="C19" s="10">
        <f>Worksheet!K31</f>
        <v>1850</v>
      </c>
    </row>
    <row r="20" spans="1:4" x14ac:dyDescent="0.3">
      <c r="B20" s="24" t="s">
        <v>33</v>
      </c>
      <c r="C20" s="10">
        <f>Worksheet!K32</f>
        <v>5000</v>
      </c>
    </row>
    <row r="21" spans="1:4" x14ac:dyDescent="0.3">
      <c r="B21" t="s">
        <v>34</v>
      </c>
      <c r="C21" s="10">
        <f>Worksheet!K33</f>
        <v>250</v>
      </c>
    </row>
    <row r="22" spans="1:4" x14ac:dyDescent="0.3">
      <c r="B22" t="s">
        <v>35</v>
      </c>
      <c r="C22" s="10">
        <f>Worksheet!K34</f>
        <v>260</v>
      </c>
    </row>
    <row r="23" spans="1:4" x14ac:dyDescent="0.3">
      <c r="A23" s="24" t="s">
        <v>159</v>
      </c>
      <c r="B23" s="24"/>
      <c r="C23" s="10"/>
    </row>
    <row r="24" spans="1:4" x14ac:dyDescent="0.3">
      <c r="B24" t="s">
        <v>27</v>
      </c>
      <c r="C24" s="53">
        <f>Worksheet!K26</f>
        <v>25</v>
      </c>
    </row>
    <row r="25" spans="1:4" x14ac:dyDescent="0.3">
      <c r="B25" s="51" t="s">
        <v>160</v>
      </c>
      <c r="C25" s="10"/>
      <c r="D25" s="55">
        <f>SUM(C13:C24)</f>
        <v>13973</v>
      </c>
    </row>
    <row r="26" spans="1:4" x14ac:dyDescent="0.3">
      <c r="C26" s="10"/>
    </row>
    <row r="27" spans="1:4" ht="14" thickBot="1" x14ac:dyDescent="0.35">
      <c r="A27" s="24" t="s">
        <v>161</v>
      </c>
      <c r="B27" s="24"/>
      <c r="C27" s="10"/>
      <c r="D27" s="56">
        <f>D10-D25</f>
        <v>5027</v>
      </c>
    </row>
    <row r="28" spans="1:4" ht="14" thickTop="1" x14ac:dyDescent="0.3"/>
    <row r="29" spans="1:4" x14ac:dyDescent="0.3">
      <c r="B29" s="24"/>
      <c r="C29" s="10"/>
      <c r="D29" s="30"/>
    </row>
    <row r="30" spans="1:4" x14ac:dyDescent="0.3">
      <c r="B30" s="24"/>
      <c r="C30" s="10"/>
      <c r="D30" s="30"/>
    </row>
    <row r="31" spans="1:4" x14ac:dyDescent="0.3">
      <c r="B31" s="24"/>
      <c r="C31" s="10"/>
      <c r="D31" s="30"/>
    </row>
    <row r="32" spans="1:4" x14ac:dyDescent="0.3">
      <c r="B32" s="24"/>
      <c r="C32" s="10"/>
    </row>
    <row r="33" spans="1:4" x14ac:dyDescent="0.3">
      <c r="B33" s="24"/>
      <c r="C33" s="10"/>
    </row>
    <row r="34" spans="1:4" x14ac:dyDescent="0.3">
      <c r="B34" s="24"/>
      <c r="C34" s="10"/>
    </row>
    <row r="35" spans="1:4" x14ac:dyDescent="0.3">
      <c r="B35" s="24"/>
      <c r="C35" s="10"/>
    </row>
    <row r="36" spans="1:4" x14ac:dyDescent="0.3">
      <c r="C36" s="10"/>
    </row>
    <row r="38" spans="1:4" x14ac:dyDescent="0.3">
      <c r="B38" s="1"/>
      <c r="C38" s="10"/>
    </row>
    <row r="40" spans="1:4" ht="15" x14ac:dyDescent="0.3">
      <c r="B40" s="64" t="s">
        <v>162</v>
      </c>
    </row>
    <row r="41" spans="1:4" ht="15" x14ac:dyDescent="0.3">
      <c r="B41" s="12" t="s">
        <v>163</v>
      </c>
      <c r="C41" s="9"/>
    </row>
    <row r="42" spans="1:4" x14ac:dyDescent="0.3">
      <c r="C42" s="9"/>
    </row>
    <row r="44" spans="1:4" x14ac:dyDescent="0.3">
      <c r="A44" s="24" t="s">
        <v>164</v>
      </c>
      <c r="D44" s="4">
        <f>'Gen Ledger'!G122</f>
        <v>90000</v>
      </c>
    </row>
    <row r="45" spans="1:4" x14ac:dyDescent="0.3">
      <c r="B45" s="24" t="s">
        <v>165</v>
      </c>
      <c r="C45" s="4">
        <f>'Gen Ledger'!E123</f>
        <v>2500</v>
      </c>
    </row>
    <row r="46" spans="1:4" x14ac:dyDescent="0.3">
      <c r="B46" s="24" t="s">
        <v>166</v>
      </c>
      <c r="C46" s="55">
        <f>D27</f>
        <v>5027</v>
      </c>
      <c r="D46" s="55">
        <f>D44+C45+C46</f>
        <v>97527</v>
      </c>
    </row>
    <row r="48" spans="1:4" x14ac:dyDescent="0.3">
      <c r="B48" s="24" t="s">
        <v>167</v>
      </c>
      <c r="D48" s="57">
        <f>Worksheet!I22</f>
        <v>1000</v>
      </c>
    </row>
    <row r="49" spans="1:4" ht="14" thickBot="1" x14ac:dyDescent="0.35">
      <c r="A49" s="24" t="s">
        <v>168</v>
      </c>
      <c r="D49" s="56">
        <f>D46-D48</f>
        <v>96527</v>
      </c>
    </row>
    <row r="50" spans="1:4" ht="14" thickTop="1" x14ac:dyDescent="0.3"/>
    <row r="52" spans="1:4" x14ac:dyDescent="0.3">
      <c r="B52" s="24"/>
    </row>
    <row r="53" spans="1:4" x14ac:dyDescent="0.3">
      <c r="B53" s="24"/>
    </row>
  </sheetData>
  <phoneticPr fontId="3" type="noConversion"/>
  <printOptions gridLines="1"/>
  <pageMargins left="0.35433070866141736" right="0.35433070866141736" top="0.78740157480314965" bottom="0.59055118110236227" header="0.51181102362204722" footer="0.51181102362204722"/>
  <pageSetup paperSize="9" orientation="portrait" horizontalDpi="4294967292" verticalDpi="4294967292" r:id="rId1"/>
  <headerFooter alignWithMargins="0">
    <oddHeader>&amp;C&amp;"Verdana,Bold"&amp;16Strum and Co. EXCEL TEMPLATE</oddHeader>
    <oddFooter>&amp;L &amp;CStrum and Co. Practice Set&amp;RPage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9"/>
  <sheetViews>
    <sheetView view="pageLayout" topLeftCell="A15" zoomScale="85" zoomScaleNormal="100" zoomScalePageLayoutView="85" workbookViewId="0">
      <selection activeCell="F9" sqref="F9"/>
    </sheetView>
  </sheetViews>
  <sheetFormatPr defaultColWidth="11" defaultRowHeight="13.5" x14ac:dyDescent="0.3"/>
  <cols>
    <col min="1" max="1" width="4" customWidth="1"/>
    <col min="2" max="2" width="24" customWidth="1"/>
    <col min="5" max="8" width="9.15234375" customWidth="1"/>
  </cols>
  <sheetData>
    <row r="1" spans="1:8" s="1" customFormat="1" ht="23" x14ac:dyDescent="0.45">
      <c r="A1" s="33"/>
      <c r="B1" s="34"/>
      <c r="C1" s="20"/>
      <c r="D1" s="20"/>
      <c r="E1" s="20"/>
      <c r="F1" s="20"/>
      <c r="G1" s="20"/>
      <c r="H1" s="20"/>
    </row>
    <row r="2" spans="1:8" ht="23" x14ac:dyDescent="0.45">
      <c r="A2" s="8" t="s">
        <v>169</v>
      </c>
      <c r="B2" s="9"/>
      <c r="C2" s="9"/>
      <c r="D2" s="9"/>
      <c r="E2" s="9"/>
      <c r="F2" s="9"/>
      <c r="G2" s="9"/>
      <c r="H2" s="9"/>
    </row>
    <row r="3" spans="1:8" ht="23" x14ac:dyDescent="0.45">
      <c r="A3" s="8"/>
      <c r="C3" s="47" t="s">
        <v>170</v>
      </c>
    </row>
    <row r="5" spans="1:8" x14ac:dyDescent="0.3">
      <c r="B5" s="24" t="s">
        <v>171</v>
      </c>
      <c r="F5" s="2">
        <v>44315</v>
      </c>
      <c r="H5" s="2">
        <v>44285</v>
      </c>
    </row>
    <row r="6" spans="1:8" x14ac:dyDescent="0.3">
      <c r="A6" s="1"/>
    </row>
    <row r="7" spans="1:8" x14ac:dyDescent="0.3">
      <c r="B7" s="24" t="s">
        <v>172</v>
      </c>
    </row>
    <row r="8" spans="1:8" x14ac:dyDescent="0.3">
      <c r="B8" t="s">
        <v>6</v>
      </c>
      <c r="F8" s="57">
        <f>Worksheet!M7</f>
        <v>20057</v>
      </c>
      <c r="H8" s="57">
        <f>'Chart of Accounts'!C4</f>
        <v>14870</v>
      </c>
    </row>
    <row r="9" spans="1:8" x14ac:dyDescent="0.3">
      <c r="B9" t="s">
        <v>7</v>
      </c>
      <c r="F9" s="57">
        <f>Worksheet!M8</f>
        <v>51202</v>
      </c>
      <c r="H9" s="57">
        <f>'Chart of Accounts'!C5</f>
        <v>56518</v>
      </c>
    </row>
    <row r="10" spans="1:8" x14ac:dyDescent="0.3">
      <c r="B10" s="24" t="s">
        <v>8</v>
      </c>
      <c r="F10" s="57">
        <f>Worksheet!M9</f>
        <v>15320</v>
      </c>
      <c r="H10" s="57">
        <f>'Chart of Accounts'!C6</f>
        <v>24480</v>
      </c>
    </row>
    <row r="11" spans="1:8" x14ac:dyDescent="0.3">
      <c r="B11" t="s">
        <v>9</v>
      </c>
      <c r="F11" s="57">
        <f>Worksheet!M10</f>
        <v>1100</v>
      </c>
      <c r="H11" s="57">
        <v>0</v>
      </c>
    </row>
    <row r="12" spans="1:8" x14ac:dyDescent="0.3">
      <c r="B12" t="s">
        <v>11</v>
      </c>
      <c r="F12" s="57">
        <f>Worksheet!M11</f>
        <v>10000</v>
      </c>
      <c r="H12" s="57">
        <f>'Chart of Accounts'!C8</f>
        <v>15000</v>
      </c>
    </row>
    <row r="13" spans="1:8" x14ac:dyDescent="0.3">
      <c r="A13" s="1"/>
      <c r="B13" t="str">
        <f>+'Chart of Accounts'!B9</f>
        <v>Office Supplies</v>
      </c>
      <c r="F13" s="57">
        <f>Worksheet!M12</f>
        <v>370</v>
      </c>
      <c r="H13" s="57">
        <f>'Chart of Accounts'!C9</f>
        <v>1520</v>
      </c>
    </row>
    <row r="14" spans="1:8" x14ac:dyDescent="0.3">
      <c r="A14" s="1"/>
      <c r="B14" s="51" t="s">
        <v>173</v>
      </c>
      <c r="F14" s="58">
        <f>SUM(F8:F13)</f>
        <v>98049</v>
      </c>
      <c r="H14" s="58">
        <f>SUM(H8:H13)</f>
        <v>112388</v>
      </c>
    </row>
    <row r="15" spans="1:8" x14ac:dyDescent="0.3">
      <c r="B15" s="24"/>
    </row>
    <row r="16" spans="1:8" x14ac:dyDescent="0.3">
      <c r="B16" s="24" t="s">
        <v>174</v>
      </c>
    </row>
    <row r="17" spans="1:8" x14ac:dyDescent="0.3">
      <c r="B17" s="24" t="s">
        <v>13</v>
      </c>
      <c r="F17" s="57">
        <f>Worksheet!M13</f>
        <v>29080</v>
      </c>
      <c r="H17" s="57">
        <f>'Chart of Accounts'!C10</f>
        <v>29080</v>
      </c>
    </row>
    <row r="18" spans="1:8" x14ac:dyDescent="0.3">
      <c r="B18" s="24" t="s">
        <v>175</v>
      </c>
      <c r="F18" s="57">
        <f>Worksheet!N14</f>
        <v>14508</v>
      </c>
      <c r="H18" s="57">
        <f>'Chart of Accounts'!D11</f>
        <v>14040</v>
      </c>
    </row>
    <row r="19" spans="1:8" x14ac:dyDescent="0.3">
      <c r="A19" s="1"/>
      <c r="B19" t="s">
        <v>15</v>
      </c>
      <c r="F19" s="57">
        <f>Worksheet!M15</f>
        <v>25680</v>
      </c>
      <c r="H19" s="57">
        <f>'Chart of Accounts'!C12</f>
        <v>24460</v>
      </c>
    </row>
    <row r="20" spans="1:8" x14ac:dyDescent="0.3">
      <c r="A20" s="1"/>
      <c r="B20" s="24" t="s">
        <v>176</v>
      </c>
      <c r="F20" s="57">
        <f>Worksheet!N16</f>
        <v>15858</v>
      </c>
      <c r="H20" s="57">
        <f>'Chart of Accounts'!D13</f>
        <v>15288</v>
      </c>
    </row>
    <row r="21" spans="1:8" x14ac:dyDescent="0.3">
      <c r="B21" s="51" t="s">
        <v>177</v>
      </c>
      <c r="F21" s="58">
        <f>F17-F18+F19-F20</f>
        <v>24394</v>
      </c>
      <c r="H21" s="58">
        <f>H17-H18+H19-H20</f>
        <v>24212</v>
      </c>
    </row>
    <row r="22" spans="1:8" ht="14" thickBot="1" x14ac:dyDescent="0.35">
      <c r="A22" s="1"/>
      <c r="B22" s="51" t="s">
        <v>178</v>
      </c>
      <c r="F22" s="59">
        <f>F14+F21</f>
        <v>122443</v>
      </c>
      <c r="H22" s="59">
        <f>H14+H21</f>
        <v>136600</v>
      </c>
    </row>
    <row r="23" spans="1:8" ht="14" thickTop="1" x14ac:dyDescent="0.3">
      <c r="A23" s="1"/>
    </row>
    <row r="24" spans="1:8" x14ac:dyDescent="0.3">
      <c r="A24" s="1"/>
      <c r="B24" s="24" t="s">
        <v>179</v>
      </c>
    </row>
    <row r="25" spans="1:8" x14ac:dyDescent="0.3">
      <c r="A25" s="1"/>
    </row>
    <row r="26" spans="1:8" x14ac:dyDescent="0.3">
      <c r="A26" s="1"/>
      <c r="B26" s="24" t="s">
        <v>180</v>
      </c>
    </row>
    <row r="27" spans="1:8" x14ac:dyDescent="0.3">
      <c r="A27" s="1"/>
      <c r="B27" s="24" t="s">
        <v>17</v>
      </c>
      <c r="F27" s="57">
        <f>Worksheet!N17</f>
        <v>2410</v>
      </c>
      <c r="H27" s="57">
        <f>'Chart of Accounts'!D14</f>
        <v>12450</v>
      </c>
    </row>
    <row r="28" spans="1:8" x14ac:dyDescent="0.3">
      <c r="A28" s="1"/>
      <c r="B28" t="s">
        <v>18</v>
      </c>
      <c r="C28" s="7"/>
      <c r="D28" s="7"/>
      <c r="E28" s="7"/>
      <c r="F28" s="57">
        <f>Worksheet!N18</f>
        <v>21886</v>
      </c>
      <c r="G28" s="7"/>
      <c r="H28" s="57">
        <f>'Chart of Accounts'!D15</f>
        <v>28970</v>
      </c>
    </row>
    <row r="29" spans="1:8" x14ac:dyDescent="0.3">
      <c r="A29" s="1"/>
      <c r="B29" t="s">
        <v>19</v>
      </c>
      <c r="C29" s="7"/>
      <c r="D29" s="7"/>
      <c r="E29" s="7"/>
      <c r="F29" s="57">
        <f>Worksheet!N19</f>
        <v>600</v>
      </c>
      <c r="G29" s="7"/>
      <c r="H29" s="57">
        <v>0</v>
      </c>
    </row>
    <row r="30" spans="1:8" x14ac:dyDescent="0.3">
      <c r="A30" s="1"/>
      <c r="B30" t="s">
        <v>20</v>
      </c>
      <c r="C30" s="7"/>
      <c r="D30" s="7"/>
      <c r="E30" s="7"/>
      <c r="F30" s="57">
        <f>Worksheet!N20</f>
        <v>1020</v>
      </c>
      <c r="G30" s="7"/>
      <c r="H30" s="57">
        <f>'Chart of Accounts'!D17</f>
        <v>5180</v>
      </c>
    </row>
    <row r="31" spans="1:8" x14ac:dyDescent="0.3">
      <c r="A31" s="1"/>
      <c r="B31" s="51" t="s">
        <v>181</v>
      </c>
      <c r="C31" s="7"/>
      <c r="D31" s="7"/>
      <c r="E31" s="7"/>
      <c r="F31" s="58">
        <f>SUM(F27:F30)</f>
        <v>25916</v>
      </c>
      <c r="G31" s="7"/>
      <c r="H31" s="58">
        <f>SUM(H27:H30)</f>
        <v>46600</v>
      </c>
    </row>
    <row r="32" spans="1:8" x14ac:dyDescent="0.3">
      <c r="A32" s="1"/>
      <c r="B32" s="1"/>
      <c r="E32" s="7"/>
      <c r="H32" s="7"/>
    </row>
    <row r="33" spans="1:8" x14ac:dyDescent="0.3">
      <c r="B33" s="24" t="s">
        <v>182</v>
      </c>
    </row>
    <row r="34" spans="1:8" x14ac:dyDescent="0.3">
      <c r="A34" s="1"/>
      <c r="B34" t="s">
        <v>21</v>
      </c>
      <c r="F34" s="57">
        <f>Worksheet!N21</f>
        <v>92500</v>
      </c>
      <c r="H34" s="57">
        <f>'Chart of Accounts'!D18</f>
        <v>90000</v>
      </c>
    </row>
    <row r="35" spans="1:8" x14ac:dyDescent="0.3">
      <c r="B35" s="24" t="s">
        <v>183</v>
      </c>
      <c r="F35" s="57">
        <f>Worksheet!M22</f>
        <v>1000</v>
      </c>
      <c r="H35" s="57">
        <v>0</v>
      </c>
    </row>
    <row r="36" spans="1:8" x14ac:dyDescent="0.3">
      <c r="B36" t="s">
        <v>145</v>
      </c>
      <c r="F36" s="57">
        <f>Worksheet!N37</f>
        <v>5027</v>
      </c>
      <c r="H36" s="57">
        <v>0</v>
      </c>
    </row>
    <row r="37" spans="1:8" x14ac:dyDescent="0.3">
      <c r="B37" s="24" t="s">
        <v>184</v>
      </c>
      <c r="F37" s="58">
        <f>F34-F35+F36</f>
        <v>96527</v>
      </c>
      <c r="H37" s="58">
        <f>SUM(H34:H36)</f>
        <v>90000</v>
      </c>
    </row>
    <row r="38" spans="1:8" ht="14" thickBot="1" x14ac:dyDescent="0.35">
      <c r="B38" s="24" t="s">
        <v>185</v>
      </c>
      <c r="F38" s="60">
        <f>F31+F37</f>
        <v>122443</v>
      </c>
      <c r="H38" s="60">
        <f>H31+H37</f>
        <v>136600</v>
      </c>
    </row>
    <row r="39" spans="1:8" ht="14" thickTop="1" x14ac:dyDescent="0.3"/>
  </sheetData>
  <phoneticPr fontId="3" type="noConversion"/>
  <printOptions gridLines="1"/>
  <pageMargins left="0.35433070866141736" right="0.35433070866141736" top="0.78740157480314965" bottom="0.59055118110236227" header="0.51181102362204722" footer="0.51181102362204722"/>
  <pageSetup paperSize="9" scale="95" orientation="portrait" horizontalDpi="4294967292" verticalDpi="4294967292" r:id="rId1"/>
  <headerFooter alignWithMargins="0">
    <oddHeader>&amp;C&amp;"Verdana,Bold"&amp;16Strum and Co. EXCEL TEMPLATE</oddHeader>
    <oddFooter>&amp;L &amp;CStrum and Co. Practice Set&amp;RPage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38"/>
  <sheetViews>
    <sheetView view="pageLayout" zoomScale="85" zoomScaleNormal="100" zoomScalePageLayoutView="85" workbookViewId="0">
      <selection activeCell="A17" sqref="A17"/>
    </sheetView>
  </sheetViews>
  <sheetFormatPr defaultColWidth="11" defaultRowHeight="13.5" x14ac:dyDescent="0.3"/>
  <cols>
    <col min="1" max="1" width="43.4609375" customWidth="1"/>
    <col min="2" max="2" width="19.84375" customWidth="1"/>
    <col min="3" max="3" width="18.84375" customWidth="1"/>
  </cols>
  <sheetData>
    <row r="1" spans="1:3" ht="23" x14ac:dyDescent="0.45">
      <c r="A1" s="8" t="s">
        <v>186</v>
      </c>
      <c r="B1" s="9"/>
      <c r="C1" s="9"/>
    </row>
    <row r="2" spans="1:3" ht="23" x14ac:dyDescent="0.45">
      <c r="A2" s="8" t="s">
        <v>187</v>
      </c>
      <c r="B2" s="9"/>
      <c r="C2" s="9"/>
    </row>
    <row r="3" spans="1:3" x14ac:dyDescent="0.3">
      <c r="A3" s="48" t="s">
        <v>188</v>
      </c>
      <c r="B3" s="36"/>
      <c r="C3" s="36"/>
    </row>
    <row r="4" spans="1:3" x14ac:dyDescent="0.3">
      <c r="B4" s="5" t="s">
        <v>100</v>
      </c>
      <c r="C4" s="5" t="s">
        <v>101</v>
      </c>
    </row>
    <row r="5" spans="1:3" x14ac:dyDescent="0.3">
      <c r="A5" t="s">
        <v>6</v>
      </c>
      <c r="B5" s="61">
        <f>'Gen Ledger'!F7</f>
        <v>20057</v>
      </c>
      <c r="C5" s="5"/>
    </row>
    <row r="6" spans="1:3" x14ac:dyDescent="0.3">
      <c r="A6" t="s">
        <v>7</v>
      </c>
      <c r="B6" s="7">
        <f>'Gen Ledger'!F16</f>
        <v>51202</v>
      </c>
      <c r="C6" s="7"/>
    </row>
    <row r="7" spans="1:3" x14ac:dyDescent="0.3">
      <c r="A7" s="24" t="s">
        <v>8</v>
      </c>
      <c r="B7" s="7">
        <f>'Gen Ledger'!F27</f>
        <v>15320</v>
      </c>
      <c r="C7" s="7"/>
    </row>
    <row r="8" spans="1:3" x14ac:dyDescent="0.3">
      <c r="A8" t="s">
        <v>9</v>
      </c>
      <c r="B8" s="7">
        <f>'Gen Ledger'!F35</f>
        <v>1100</v>
      </c>
      <c r="C8" s="7"/>
    </row>
    <row r="9" spans="1:3" x14ac:dyDescent="0.3">
      <c r="A9" t="s">
        <v>11</v>
      </c>
      <c r="B9" s="7">
        <f>'Gen Ledger'!F42</f>
        <v>10000</v>
      </c>
      <c r="C9" s="7"/>
    </row>
    <row r="10" spans="1:3" x14ac:dyDescent="0.3">
      <c r="A10" s="24" t="s">
        <v>12</v>
      </c>
      <c r="B10" s="7">
        <f>'Gen Ledger'!F50</f>
        <v>370</v>
      </c>
      <c r="C10" s="7"/>
    </row>
    <row r="11" spans="1:3" x14ac:dyDescent="0.3">
      <c r="A11" s="24" t="s">
        <v>13</v>
      </c>
      <c r="B11" s="7">
        <f>'Gen Ledger'!F56</f>
        <v>29080</v>
      </c>
      <c r="C11" s="7"/>
    </row>
    <row r="12" spans="1:3" x14ac:dyDescent="0.3">
      <c r="A12" s="24" t="s">
        <v>14</v>
      </c>
      <c r="B12" s="7"/>
      <c r="C12" s="7">
        <f>'Gen Ledger'!G63</f>
        <v>14508</v>
      </c>
    </row>
    <row r="13" spans="1:3" x14ac:dyDescent="0.3">
      <c r="A13" t="s">
        <v>15</v>
      </c>
      <c r="B13" s="7">
        <f>'Gen Ledger'!F70</f>
        <v>25680</v>
      </c>
      <c r="C13" s="7"/>
    </row>
    <row r="14" spans="1:3" x14ac:dyDescent="0.3">
      <c r="A14" t="s">
        <v>16</v>
      </c>
      <c r="B14" s="7"/>
      <c r="C14" s="7">
        <f>'Gen Ledger'!G77</f>
        <v>15858</v>
      </c>
    </row>
    <row r="15" spans="1:3" x14ac:dyDescent="0.3">
      <c r="A15" s="24" t="s">
        <v>17</v>
      </c>
      <c r="B15" s="7"/>
      <c r="C15" s="7">
        <f>'Gen Ledger'!G92</f>
        <v>2410</v>
      </c>
    </row>
    <row r="16" spans="1:3" x14ac:dyDescent="0.3">
      <c r="A16" t="s">
        <v>18</v>
      </c>
      <c r="B16" s="7"/>
      <c r="C16" s="7">
        <f>'Gen Ledger'!G101</f>
        <v>21886</v>
      </c>
    </row>
    <row r="17" spans="1:3" x14ac:dyDescent="0.3">
      <c r="A17" t="s">
        <v>19</v>
      </c>
      <c r="B17" s="7"/>
      <c r="C17" s="7">
        <f>'Gen Ledger'!G107</f>
        <v>600</v>
      </c>
    </row>
    <row r="18" spans="1:3" x14ac:dyDescent="0.3">
      <c r="A18" t="s">
        <v>20</v>
      </c>
      <c r="B18" s="7"/>
      <c r="C18" s="7">
        <f>'Gen Ledger'!G115</f>
        <v>1020</v>
      </c>
    </row>
    <row r="19" spans="1:3" x14ac:dyDescent="0.3">
      <c r="A19" t="s">
        <v>21</v>
      </c>
      <c r="B19" s="62"/>
      <c r="C19" s="62">
        <f>'Gen Ledger'!G125</f>
        <v>96527</v>
      </c>
    </row>
    <row r="20" spans="1:3" x14ac:dyDescent="0.3">
      <c r="B20" s="63">
        <f>SUM(B5:B19)</f>
        <v>152809</v>
      </c>
      <c r="C20" s="63">
        <f>SUM(C5:C19)</f>
        <v>152809</v>
      </c>
    </row>
    <row r="21" spans="1:3" x14ac:dyDescent="0.3">
      <c r="B21" s="7"/>
      <c r="C21" s="7"/>
    </row>
    <row r="22" spans="1:3" x14ac:dyDescent="0.3">
      <c r="B22" s="7"/>
      <c r="C22" s="7"/>
    </row>
    <row r="23" spans="1:3" x14ac:dyDescent="0.3">
      <c r="B23" s="7"/>
      <c r="C23" s="7"/>
    </row>
    <row r="24" spans="1:3" x14ac:dyDescent="0.3">
      <c r="B24" s="7"/>
      <c r="C24" s="7"/>
    </row>
    <row r="25" spans="1:3" x14ac:dyDescent="0.3">
      <c r="B25" s="7"/>
      <c r="C25" s="7"/>
    </row>
    <row r="26" spans="1:3" x14ac:dyDescent="0.3">
      <c r="B26" s="7"/>
      <c r="C26" s="7"/>
    </row>
    <row r="27" spans="1:3" x14ac:dyDescent="0.3">
      <c r="B27" s="7"/>
      <c r="C27" s="7"/>
    </row>
    <row r="36" spans="2:2" x14ac:dyDescent="0.3">
      <c r="B36" s="24"/>
    </row>
    <row r="37" spans="2:2" x14ac:dyDescent="0.3">
      <c r="B37" s="24"/>
    </row>
    <row r="38" spans="2:2" x14ac:dyDescent="0.3">
      <c r="B38" s="24"/>
    </row>
  </sheetData>
  <phoneticPr fontId="3" type="noConversion"/>
  <printOptions gridLines="1"/>
  <pageMargins left="0.35433070866141736" right="0.35433070866141736" top="0.78740157480314965" bottom="0.59055118110236227" header="0.51181102362204722" footer="0.51181102362204722"/>
  <pageSetup paperSize="9" scale="95" orientation="portrait" horizontalDpi="4294967292" verticalDpi="4294967292" r:id="rId1"/>
  <headerFooter alignWithMargins="0">
    <oddHeader>&amp;C&amp;"Verdana,Bold"&amp;16Strum and Co. EXCEL TEMPLATE</oddHeader>
    <oddFooter>&amp;L &amp;CStrum and Co. Practice Set&amp;RPage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Chart of Accounts</vt:lpstr>
      <vt:lpstr>Journals</vt:lpstr>
      <vt:lpstr>Subsid Ledgers</vt:lpstr>
      <vt:lpstr>Gen Ledger</vt:lpstr>
      <vt:lpstr>Worksheet</vt:lpstr>
      <vt:lpstr>Income Sment &amp; Chgs in Equity</vt:lpstr>
      <vt:lpstr>Balance Sheet</vt:lpstr>
      <vt:lpstr>Post Cl Trial Bal</vt:lpstr>
      <vt:lpstr>'Gen Ledger'!Print_Area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Liz Marsland</dc:creator>
  <cp:keywords/>
  <dc:description/>
  <cp:lastModifiedBy>THONG LE</cp:lastModifiedBy>
  <cp:revision/>
  <cp:lastPrinted>2025-04-23T03:38:28Z</cp:lastPrinted>
  <dcterms:created xsi:type="dcterms:W3CDTF">2006-05-04T03:46:17Z</dcterms:created>
  <dcterms:modified xsi:type="dcterms:W3CDTF">2025-05-18T13:39:42Z</dcterms:modified>
  <cp:category/>
  <cp:contentStatus/>
</cp:coreProperties>
</file>